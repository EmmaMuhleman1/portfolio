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DCF Valuation" sheetId="5" state="visible" r:id="rId5"/>
    <sheet xmlns:r="http://schemas.openxmlformats.org/officeDocument/2006/relationships" name="Comparable Companies" sheetId="6" state="visible" r:id="rId6"/>
    <sheet xmlns:r="http://schemas.openxmlformats.org/officeDocument/2006/relationships" name="Transaction Multiples" sheetId="7" state="visible" r:id="rId7"/>
    <sheet xmlns:r="http://schemas.openxmlformats.org/officeDocument/2006/relationships" name="Valuation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x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008000"/>
      <sz val="11"/>
    </font>
    <font>
      <name val="Arial"/>
      <b val="1"/>
      <color rgb="00FF00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E0E0E0"/>
        <bgColor rgb="00E0E0E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wrapText="1"/>
    </xf>
    <xf numFmtId="164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0" fillId="2" borderId="1" pivotButton="0" quotePrefix="0" xfId="0"/>
    <xf numFmtId="0" fontId="1" fillId="2" borderId="1" applyAlignment="1" pivotButton="0" quotePrefix="0" xfId="0">
      <alignment horizontal="center"/>
    </xf>
    <xf numFmtId="165" fontId="3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1" fillId="2" borderId="1" pivotButton="0" quotePrefix="0" xfId="0"/>
    <xf numFmtId="164" fontId="6" fillId="0" borderId="1" applyAlignment="1" pivotButton="0" quotePrefix="0" xfId="0">
      <alignment horizontal="right"/>
    </xf>
    <xf numFmtId="166" fontId="9" fillId="0" borderId="1" applyAlignment="1" pivotButton="0" quotePrefix="0" xfId="0">
      <alignment horizontal="right"/>
    </xf>
    <xf numFmtId="0" fontId="7" fillId="3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165" fontId="10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0" fontId="7" fillId="5" borderId="1" pivotButton="0" quotePrefix="0" xfId="0"/>
    <xf numFmtId="166" fontId="7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s="27" t="n"/>
      <c r="B2" s="27" t="n"/>
    </row>
    <row r="3">
      <c r="A3" s="2" t="inlineStr">
        <is>
          <t>REVENUE GROWTH RATES</t>
        </is>
      </c>
      <c r="B3" s="27" t="n"/>
    </row>
    <row r="4">
      <c r="A4" s="2" t="inlineStr">
        <is>
          <t>Productivity &amp; Business (2024E)</t>
        </is>
      </c>
      <c r="B4" s="3" t="n">
        <v>0.08</v>
      </c>
    </row>
    <row r="5">
      <c r="A5" s="2" t="inlineStr">
        <is>
          <t>Productivity &amp; Business (2025E)</t>
        </is>
      </c>
      <c r="B5" s="3" t="n">
        <v>0.07000000000000001</v>
      </c>
    </row>
    <row r="6">
      <c r="A6" s="2" t="inlineStr">
        <is>
          <t>Productivity &amp; Business (2026E)</t>
        </is>
      </c>
      <c r="B6" s="3" t="n">
        <v>0.065</v>
      </c>
    </row>
    <row r="7">
      <c r="A7" s="2" t="inlineStr">
        <is>
          <t>Productivity &amp; Business (2027E)</t>
        </is>
      </c>
      <c r="B7" s="3" t="n">
        <v>0.06</v>
      </c>
    </row>
    <row r="8">
      <c r="A8" s="2" t="inlineStr">
        <is>
          <t>Productivity &amp; Business (2028E)</t>
        </is>
      </c>
      <c r="B8" s="3" t="n">
        <v>0.055</v>
      </c>
    </row>
    <row r="9">
      <c r="A9" s="2" t="inlineStr">
        <is>
          <t>Intelligent Cloud (2024E)</t>
        </is>
      </c>
      <c r="B9" s="3" t="n">
        <v>0.28</v>
      </c>
    </row>
    <row r="10">
      <c r="A10" s="2" t="inlineStr">
        <is>
          <t>Intelligent Cloud (2025E)</t>
        </is>
      </c>
      <c r="B10" s="3" t="n">
        <v>0.22</v>
      </c>
    </row>
    <row r="11">
      <c r="A11" s="2" t="inlineStr">
        <is>
          <t>Intelligent Cloud (2026E)</t>
        </is>
      </c>
      <c r="B11" s="3" t="n">
        <v>0.18</v>
      </c>
    </row>
    <row r="12">
      <c r="A12" s="2" t="inlineStr">
        <is>
          <t>Intelligent Cloud (2027E)</t>
        </is>
      </c>
      <c r="B12" s="3" t="n">
        <v>0.15</v>
      </c>
    </row>
    <row r="13">
      <c r="A13" s="2" t="inlineStr">
        <is>
          <t>Intelligent Cloud (2028E)</t>
        </is>
      </c>
      <c r="B13" s="3" t="n">
        <v>0.12</v>
      </c>
    </row>
    <row r="14">
      <c r="A14" s="2" t="inlineStr">
        <is>
          <t>More Personal Computing (2024E)</t>
        </is>
      </c>
      <c r="B14" s="3" t="n">
        <v>0.08</v>
      </c>
    </row>
    <row r="15">
      <c r="A15" s="2" t="inlineStr">
        <is>
          <t>More Personal Computing (2025E)</t>
        </is>
      </c>
      <c r="B15" s="3" t="n">
        <v>0.06</v>
      </c>
    </row>
    <row r="16">
      <c r="A16" s="2" t="inlineStr">
        <is>
          <t>More Personal Computing (2026E)</t>
        </is>
      </c>
      <c r="B16" s="3" t="n">
        <v>0.05</v>
      </c>
    </row>
    <row r="17">
      <c r="A17" s="2" t="inlineStr">
        <is>
          <t>More Personal Computing (2027E)</t>
        </is>
      </c>
      <c r="B17" s="3" t="n">
        <v>0.04</v>
      </c>
    </row>
    <row r="18">
      <c r="A18" s="2" t="inlineStr">
        <is>
          <t>More Personal Computing (2028E)</t>
        </is>
      </c>
      <c r="B18" s="3" t="n">
        <v>0.03</v>
      </c>
    </row>
    <row r="19">
      <c r="A19" s="27" t="n"/>
      <c r="B19" s="27" t="n"/>
    </row>
    <row r="20">
      <c r="A20" s="2" t="inlineStr">
        <is>
          <t>MARGIN ASSUMPTIONS</t>
        </is>
      </c>
      <c r="B20" s="27" t="n"/>
    </row>
    <row r="21">
      <c r="A21" s="2" t="inlineStr">
        <is>
          <t>Gross Margin %</t>
        </is>
      </c>
      <c r="B21" s="3" t="n">
        <v>0.6889999999999999</v>
      </c>
    </row>
    <row r="22">
      <c r="A22" s="2" t="inlineStr">
        <is>
          <t>R&amp;D as % of Revenue</t>
        </is>
      </c>
      <c r="B22" s="3" t="n">
        <v>0.137</v>
      </c>
    </row>
    <row r="23">
      <c r="A23" s="2" t="inlineStr">
        <is>
          <t>Sales &amp; Marketing as % of Revenue</t>
        </is>
      </c>
      <c r="B23" s="3" t="n">
        <v>0.104</v>
      </c>
    </row>
    <row r="24">
      <c r="A24" s="2" t="inlineStr">
        <is>
          <t>G&amp;A as % of Revenue</t>
        </is>
      </c>
      <c r="B24" s="3" t="n">
        <v>0.06900000000000001</v>
      </c>
    </row>
    <row r="25">
      <c r="A25" s="27" t="n"/>
      <c r="B25" s="27" t="n"/>
    </row>
    <row r="26">
      <c r="A26" s="2" t="inlineStr">
        <is>
          <t>TAX &amp; CAPITAL ALLOCATION</t>
        </is>
      </c>
      <c r="B26" s="27" t="n"/>
    </row>
    <row r="27">
      <c r="A27" s="2" t="inlineStr">
        <is>
          <t>Effective Tax Rate</t>
        </is>
      </c>
      <c r="B27" s="3" t="n">
        <v>0.18</v>
      </c>
    </row>
    <row r="28">
      <c r="A28" s="2" t="inlineStr">
        <is>
          <t>CapEx as % of Revenue</t>
        </is>
      </c>
      <c r="B28" s="3" t="n">
        <v>0.08400000000000001</v>
      </c>
    </row>
    <row r="29">
      <c r="A29" s="27" t="n"/>
      <c r="B29" s="27" t="n"/>
    </row>
    <row r="30">
      <c r="A30" s="2" t="inlineStr">
        <is>
          <t>WORKING CAPITAL ASSUMPTIONS</t>
        </is>
      </c>
      <c r="B30" s="27" t="n"/>
    </row>
    <row r="31">
      <c r="A31" s="2" t="inlineStr">
        <is>
          <t>Days Sales Outstanding (DSO)</t>
        </is>
      </c>
      <c r="B31" s="4" t="n">
        <v>41</v>
      </c>
    </row>
    <row r="32">
      <c r="A32" s="2" t="inlineStr">
        <is>
          <t>Days Inventory Outstanding (DIO)</t>
        </is>
      </c>
      <c r="B32" s="4" t="n">
        <v>0</v>
      </c>
    </row>
    <row r="33">
      <c r="A33" s="2" t="inlineStr">
        <is>
          <t>Days Payable Outstanding (DPO)</t>
        </is>
      </c>
      <c r="B33" s="4" t="n">
        <v>74</v>
      </c>
    </row>
    <row r="34">
      <c r="A34" s="27" t="n"/>
      <c r="B34" s="27" t="n"/>
    </row>
    <row r="35">
      <c r="A35" s="2" t="inlineStr">
        <is>
          <t>WACC INPUTS</t>
        </is>
      </c>
      <c r="B35" s="27" t="n"/>
    </row>
    <row r="36">
      <c r="A36" s="2" t="inlineStr">
        <is>
          <t>Risk-Free Rate</t>
        </is>
      </c>
      <c r="B36" s="3" t="n">
        <v>0.042</v>
      </c>
    </row>
    <row r="37">
      <c r="A37" s="2" t="inlineStr">
        <is>
          <t>Equity Risk Premium</t>
        </is>
      </c>
      <c r="B37" s="3" t="n">
        <v>0.055</v>
      </c>
    </row>
    <row r="38">
      <c r="A38" s="2" t="inlineStr">
        <is>
          <t>Beta</t>
        </is>
      </c>
      <c r="B38" s="4" t="n">
        <v>0.95</v>
      </c>
    </row>
    <row r="39">
      <c r="A39" s="2" t="inlineStr">
        <is>
          <t>Cost of Debt (Pre-tax)</t>
        </is>
      </c>
      <c r="B39" s="3" t="n">
        <v>0.035</v>
      </c>
    </row>
    <row r="40">
      <c r="A40" s="2" t="inlineStr">
        <is>
          <t>Tax Rate for WACC</t>
        </is>
      </c>
      <c r="B40" s="3" t="n">
        <v>0.18</v>
      </c>
    </row>
    <row r="41">
      <c r="A41" s="2" t="inlineStr">
        <is>
          <t>Debt/Equity Ratio</t>
        </is>
      </c>
      <c r="B41" s="4" t="n">
        <v>0.25</v>
      </c>
    </row>
    <row r="42">
      <c r="A42" s="27" t="n"/>
      <c r="B42" s="27" t="n"/>
    </row>
    <row r="43">
      <c r="A43" s="2" t="inlineStr">
        <is>
          <t>CALCULATED WACC</t>
        </is>
      </c>
      <c r="B43" s="27" t="n"/>
    </row>
    <row r="44">
      <c r="A44" s="2" t="inlineStr">
        <is>
          <t>Cost of Equity (CAPM)</t>
        </is>
      </c>
      <c r="B44" s="5">
        <f>B36+(B37*B38)</f>
        <v/>
      </c>
    </row>
    <row r="45">
      <c r="A45" s="2" t="inlineStr">
        <is>
          <t>Cost of Debt (After-tax)</t>
        </is>
      </c>
      <c r="B45" s="5">
        <f>B39*(1-B40)</f>
        <v/>
      </c>
    </row>
    <row r="46">
      <c r="A46" s="2" t="inlineStr">
        <is>
          <t>Weight of Equity</t>
        </is>
      </c>
      <c r="B46" s="5">
        <f>1/(1+B41)</f>
        <v/>
      </c>
    </row>
    <row r="47">
      <c r="A47" s="2" t="inlineStr">
        <is>
          <t>Weight of Debt</t>
        </is>
      </c>
      <c r="B47" s="5">
        <f>B41/(1+B41)</f>
        <v/>
      </c>
    </row>
    <row r="48">
      <c r="A48" s="2" t="inlineStr">
        <is>
          <t>WACC</t>
        </is>
      </c>
      <c r="B48" s="5">
        <f>(B44*B46)+(B45*B47)</f>
        <v/>
      </c>
    </row>
    <row r="49">
      <c r="A49" s="27" t="n"/>
      <c r="B49" s="27" t="n"/>
    </row>
    <row r="50">
      <c r="A50" s="2" t="inlineStr">
        <is>
          <t>DCF ASSUMPTIONS</t>
        </is>
      </c>
      <c r="B50" s="27" t="n"/>
    </row>
    <row r="51">
      <c r="A51" s="2" t="inlineStr">
        <is>
          <t>Terminal Growth Rate</t>
        </is>
      </c>
      <c r="B51" s="3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6" t="inlineStr"/>
      <c r="B1" s="7" t="inlineStr">
        <is>
          <t>2021</t>
        </is>
      </c>
      <c r="C1" s="7" t="inlineStr">
        <is>
          <t>2022</t>
        </is>
      </c>
      <c r="D1" s="7" t="inlineStr">
        <is>
          <t>2023</t>
        </is>
      </c>
      <c r="E1" s="7" t="inlineStr">
        <is>
          <t>2024</t>
        </is>
      </c>
      <c r="F1" s="7" t="inlineStr">
        <is>
          <t>2025</t>
        </is>
      </c>
      <c r="G1" s="7" t="inlineStr">
        <is>
          <t>2026</t>
        </is>
      </c>
      <c r="H1" s="7" t="inlineStr">
        <is>
          <t>2027</t>
        </is>
      </c>
      <c r="I1" s="7" t="inlineStr">
        <is>
          <t>2028</t>
        </is>
      </c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</row>
    <row r="3">
      <c r="A3" s="2" t="inlineStr">
        <is>
          <t>REVENUE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</row>
    <row r="4">
      <c r="A4" s="2" t="inlineStr">
        <is>
          <t xml:space="preserve">  Productivity &amp; Business</t>
        </is>
      </c>
      <c r="B4" s="8" t="n">
        <v>53.9</v>
      </c>
      <c r="C4" s="8" t="n">
        <v>63.4</v>
      </c>
      <c r="D4" s="8" t="n">
        <v>69.3</v>
      </c>
      <c r="E4" s="9">
        <f>D4*(1+0.08)</f>
        <v/>
      </c>
      <c r="F4" s="9">
        <f>E4*(1+0.07)</f>
        <v/>
      </c>
      <c r="G4" s="9">
        <f>F4*(1+0.065)</f>
        <v/>
      </c>
      <c r="H4" s="9">
        <f>G4*(1+0.06)</f>
        <v/>
      </c>
      <c r="I4" s="9">
        <f>H4*(1+0.055)</f>
        <v/>
      </c>
    </row>
    <row r="5">
      <c r="A5" s="2" t="inlineStr">
        <is>
          <t xml:space="preserve">  Intelligent Cloud</t>
        </is>
      </c>
      <c r="B5" s="8" t="n">
        <v>60.1</v>
      </c>
      <c r="C5" s="8" t="n">
        <v>75.3</v>
      </c>
      <c r="D5" s="8" t="n">
        <v>87.90000000000001</v>
      </c>
      <c r="E5" s="9">
        <f>D5*(1+0.28)</f>
        <v/>
      </c>
      <c r="F5" s="9">
        <f>E5*(1+0.22)</f>
        <v/>
      </c>
      <c r="G5" s="9">
        <f>F5*(1+0.18)</f>
        <v/>
      </c>
      <c r="H5" s="9">
        <f>G5*(1+0.15)</f>
        <v/>
      </c>
      <c r="I5" s="9">
        <f>H5*(1+0.12)</f>
        <v/>
      </c>
    </row>
    <row r="6">
      <c r="A6" s="2" t="inlineStr">
        <is>
          <t xml:space="preserve">  More Personal Computing</t>
        </is>
      </c>
      <c r="B6" s="8" t="n">
        <v>54.1</v>
      </c>
      <c r="C6" s="8" t="n">
        <v>59.7</v>
      </c>
      <c r="D6" s="8" t="n">
        <v>54.7</v>
      </c>
      <c r="E6" s="9">
        <f>D6*(1+0.08)</f>
        <v/>
      </c>
      <c r="F6" s="9">
        <f>E6*(1+0.06)</f>
        <v/>
      </c>
      <c r="G6" s="9">
        <f>F6*(1+0.05)</f>
        <v/>
      </c>
      <c r="H6" s="9">
        <f>G6*(1+0.04)</f>
        <v/>
      </c>
      <c r="I6" s="9">
        <f>H6*(1+0.03)</f>
        <v/>
      </c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</row>
    <row r="8">
      <c r="A8" s="2" t="inlineStr">
        <is>
          <t>Total Revenue</t>
        </is>
      </c>
      <c r="B8" s="9">
        <f>B4+B5+B6</f>
        <v/>
      </c>
      <c r="C8" s="9">
        <f>C4+C5+C6</f>
        <v/>
      </c>
      <c r="D8" s="9">
        <f>D4+D5+D6</f>
        <v/>
      </c>
      <c r="E8" s="9">
        <f>E4+E5+E6</f>
        <v/>
      </c>
      <c r="F8" s="9">
        <f>F4+F5+F6</f>
        <v/>
      </c>
      <c r="G8" s="9">
        <f>G4+G5+G6</f>
        <v/>
      </c>
      <c r="H8" s="9">
        <f>H4+H5+H6</f>
        <v/>
      </c>
      <c r="I8" s="9">
        <f>I4+I5+I6</f>
        <v/>
      </c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</row>
    <row r="10">
      <c r="A10" s="2" t="inlineStr">
        <is>
          <t>Cost of Revenue</t>
        </is>
      </c>
      <c r="B10" s="9">
        <f>B8*(1-Assumptions!$B$21)</f>
        <v/>
      </c>
      <c r="C10" s="9">
        <f>C8*(1-Assumptions!$B$21)</f>
        <v/>
      </c>
      <c r="D10" s="9">
        <f>D8*(1-Assumptions!$B$21)</f>
        <v/>
      </c>
      <c r="E10" s="9">
        <f>E8*(1-Assumptions!$B$21)</f>
        <v/>
      </c>
      <c r="F10" s="9">
        <f>F8*(1-Assumptions!$B$21)</f>
        <v/>
      </c>
      <c r="G10" s="9">
        <f>G8*(1-Assumptions!$B$21)</f>
        <v/>
      </c>
      <c r="H10" s="9">
        <f>H8*(1-Assumptions!$B$21)</f>
        <v/>
      </c>
      <c r="I10" s="9">
        <f>I8*(1-Assumptions!$B$21)</f>
        <v/>
      </c>
    </row>
    <row r="11">
      <c r="A11" s="2" t="inlineStr">
        <is>
          <t>Gross Profit</t>
        </is>
      </c>
      <c r="B11" s="9">
        <f>B8-B10</f>
        <v/>
      </c>
      <c r="C11" s="9">
        <f>C8-C10</f>
        <v/>
      </c>
      <c r="D11" s="9">
        <f>D8-D10</f>
        <v/>
      </c>
      <c r="E11" s="9">
        <f>E8-E10</f>
        <v/>
      </c>
      <c r="F11" s="9">
        <f>F8-F10</f>
        <v/>
      </c>
      <c r="G11" s="9">
        <f>G8-G10</f>
        <v/>
      </c>
      <c r="H11" s="9">
        <f>H8-H10</f>
        <v/>
      </c>
      <c r="I11" s="9">
        <f>I8-I10</f>
        <v/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</row>
    <row r="13">
      <c r="A13" s="2" t="inlineStr">
        <is>
          <t>R&amp;D</t>
        </is>
      </c>
      <c r="B13" s="9">
        <f>B8*Assumptions!$B$22</f>
        <v/>
      </c>
      <c r="C13" s="9">
        <f>C8*Assumptions!$B$22</f>
        <v/>
      </c>
      <c r="D13" s="9">
        <f>D8*Assumptions!$B$22</f>
        <v/>
      </c>
      <c r="E13" s="9">
        <f>E8*Assumptions!$B$22</f>
        <v/>
      </c>
      <c r="F13" s="9">
        <f>F8*Assumptions!$B$22</f>
        <v/>
      </c>
      <c r="G13" s="9">
        <f>G8*Assumptions!$B$22</f>
        <v/>
      </c>
      <c r="H13" s="9">
        <f>H8*Assumptions!$B$22</f>
        <v/>
      </c>
      <c r="I13" s="9">
        <f>I8*Assumptions!$B$22</f>
        <v/>
      </c>
    </row>
    <row r="14">
      <c r="A14" s="2" t="inlineStr">
        <is>
          <t>Sales &amp; Marketing</t>
        </is>
      </c>
      <c r="B14" s="9">
        <f>B8*Assumptions!$B$23</f>
        <v/>
      </c>
      <c r="C14" s="9">
        <f>C8*Assumptions!$B$23</f>
        <v/>
      </c>
      <c r="D14" s="9">
        <f>D8*Assumptions!$B$23</f>
        <v/>
      </c>
      <c r="E14" s="9">
        <f>E8*Assumptions!$B$23</f>
        <v/>
      </c>
      <c r="F14" s="9">
        <f>F8*Assumptions!$B$23</f>
        <v/>
      </c>
      <c r="G14" s="9">
        <f>G8*Assumptions!$B$23</f>
        <v/>
      </c>
      <c r="H14" s="9">
        <f>H8*Assumptions!$B$23</f>
        <v/>
      </c>
      <c r="I14" s="9">
        <f>I8*Assumptions!$B$23</f>
        <v/>
      </c>
    </row>
    <row r="15">
      <c r="A15" s="2" t="inlineStr">
        <is>
          <t>General &amp; Administrative</t>
        </is>
      </c>
      <c r="B15" s="9">
        <f>B8*Assumptions!$B$24</f>
        <v/>
      </c>
      <c r="C15" s="9">
        <f>C8*Assumptions!$B$24</f>
        <v/>
      </c>
      <c r="D15" s="9">
        <f>D8*Assumptions!$B$24</f>
        <v/>
      </c>
      <c r="E15" s="9">
        <f>E8*Assumptions!$B$24</f>
        <v/>
      </c>
      <c r="F15" s="9">
        <f>F8*Assumptions!$B$24</f>
        <v/>
      </c>
      <c r="G15" s="9">
        <f>G8*Assumptions!$B$24</f>
        <v/>
      </c>
      <c r="H15" s="9">
        <f>H8*Assumptions!$B$24</f>
        <v/>
      </c>
      <c r="I15" s="9">
        <f>I8*Assumptions!$B$24</f>
        <v/>
      </c>
    </row>
    <row r="16">
      <c r="A16" s="2" t="inlineStr">
        <is>
          <t>Operating Income (EBIT)</t>
        </is>
      </c>
      <c r="B16" s="9">
        <f>B11-B13-B14-B15</f>
        <v/>
      </c>
      <c r="C16" s="9">
        <f>C11-C13-C14-C15</f>
        <v/>
      </c>
      <c r="D16" s="9">
        <f>D11-D13-D14-D15</f>
        <v/>
      </c>
      <c r="E16" s="9">
        <f>E11-E13-E14-E15</f>
        <v/>
      </c>
      <c r="F16" s="9">
        <f>F11-F13-F14-F15</f>
        <v/>
      </c>
      <c r="G16" s="9">
        <f>G11-G13-G14-G15</f>
        <v/>
      </c>
      <c r="H16" s="9">
        <f>H11-H13-H14-H15</f>
        <v/>
      </c>
      <c r="I16" s="9">
        <f>I11-I13-I14-I15</f>
        <v/>
      </c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</row>
    <row r="18">
      <c r="A18" s="2" t="inlineStr">
        <is>
          <t>Interest Income</t>
        </is>
      </c>
      <c r="B18" s="8" t="n">
        <v>1800</v>
      </c>
      <c r="C18" s="8" t="n">
        <v>2687</v>
      </c>
      <c r="D18" s="8" t="n">
        <v>3307</v>
      </c>
      <c r="E18" s="9">
        <f>D18*1.05</f>
        <v/>
      </c>
      <c r="F18" s="9">
        <f>E18*1.05</f>
        <v/>
      </c>
      <c r="G18" s="9">
        <f>F18*1.05</f>
        <v/>
      </c>
      <c r="H18" s="9">
        <f>G18*1.05</f>
        <v/>
      </c>
      <c r="I18" s="9">
        <f>H18*1.05</f>
        <v/>
      </c>
    </row>
    <row r="19">
      <c r="A19" s="2" t="inlineStr">
        <is>
          <t>Interest Expense</t>
        </is>
      </c>
      <c r="B19" s="8" t="n">
        <v>186</v>
      </c>
      <c r="C19" s="8" t="n">
        <v>263</v>
      </c>
      <c r="D19" s="8" t="n">
        <v>365</v>
      </c>
      <c r="E19" s="9">
        <f>D19*1.08</f>
        <v/>
      </c>
      <c r="F19" s="9">
        <f>E19*1.08</f>
        <v/>
      </c>
      <c r="G19" s="9">
        <f>F19*1.08</f>
        <v/>
      </c>
      <c r="H19" s="9">
        <f>G19*1.08</f>
        <v/>
      </c>
      <c r="I19" s="9">
        <f>H19*1.08</f>
        <v/>
      </c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</row>
    <row r="21">
      <c r="A21" s="2" t="inlineStr">
        <is>
          <t>Pre-Tax Income</t>
        </is>
      </c>
      <c r="B21" s="9">
        <f>B16+B18-B19</f>
        <v/>
      </c>
      <c r="C21" s="9">
        <f>C16+C18-C19</f>
        <v/>
      </c>
      <c r="D21" s="9">
        <f>D16+D18-D19</f>
        <v/>
      </c>
      <c r="E21" s="9">
        <f>E16+E18-E19</f>
        <v/>
      </c>
      <c r="F21" s="9">
        <f>F16+F18-F19</f>
        <v/>
      </c>
      <c r="G21" s="9">
        <f>G16+G18-G19</f>
        <v/>
      </c>
      <c r="H21" s="9">
        <f>H16+H18-H19</f>
        <v/>
      </c>
      <c r="I21" s="9">
        <f>I16+I18-I19</f>
        <v/>
      </c>
    </row>
    <row r="22">
      <c r="A22" s="2" t="inlineStr">
        <is>
          <t>Income Tax</t>
        </is>
      </c>
      <c r="B22" s="8">
        <f>B21*0.135</f>
        <v/>
      </c>
      <c r="C22" s="8">
        <f>C21*0.128</f>
        <v/>
      </c>
      <c r="D22" s="8">
        <f>D21*0.136</f>
        <v/>
      </c>
      <c r="E22" s="9">
        <f>E21*Assumptions!$B$27</f>
        <v/>
      </c>
      <c r="F22" s="9">
        <f>F21*Assumptions!$B$27</f>
        <v/>
      </c>
      <c r="G22" s="9">
        <f>G21*Assumptions!$B$27</f>
        <v/>
      </c>
      <c r="H22" s="9">
        <f>H21*Assumptions!$B$27</f>
        <v/>
      </c>
      <c r="I22" s="9">
        <f>I21*Assumptions!$B$27</f>
        <v/>
      </c>
    </row>
    <row r="23">
      <c r="A23" s="2" t="inlineStr">
        <is>
          <t>Net Income</t>
        </is>
      </c>
      <c r="B23" s="9">
        <f>B21-B22</f>
        <v/>
      </c>
      <c r="C23" s="9">
        <f>C21-C22</f>
        <v/>
      </c>
      <c r="D23" s="9">
        <f>D21-D22</f>
        <v/>
      </c>
      <c r="E23" s="9">
        <f>E21-E22</f>
        <v/>
      </c>
      <c r="F23" s="9">
        <f>F21-F22</f>
        <v/>
      </c>
      <c r="G23" s="9">
        <f>G21-G22</f>
        <v/>
      </c>
      <c r="H23" s="9">
        <f>H21-H22</f>
        <v/>
      </c>
      <c r="I23" s="9">
        <f>I21-I22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6" t="inlineStr"/>
      <c r="B1" s="7" t="inlineStr">
        <is>
          <t>2021</t>
        </is>
      </c>
      <c r="C1" s="7" t="inlineStr">
        <is>
          <t>2022</t>
        </is>
      </c>
      <c r="D1" s="7" t="inlineStr">
        <is>
          <t>2023</t>
        </is>
      </c>
      <c r="E1" s="7" t="inlineStr">
        <is>
          <t>2024</t>
        </is>
      </c>
      <c r="F1" s="7" t="inlineStr">
        <is>
          <t>2025</t>
        </is>
      </c>
      <c r="G1" s="7" t="inlineStr">
        <is>
          <t>2026</t>
        </is>
      </c>
      <c r="H1" s="7" t="inlineStr">
        <is>
          <t>2027</t>
        </is>
      </c>
      <c r="I1" s="7" t="inlineStr">
        <is>
          <t>2028</t>
        </is>
      </c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</row>
    <row r="3">
      <c r="A3" s="2" t="inlineStr">
        <is>
          <t>ASSETS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</row>
    <row r="4">
      <c r="A4" s="2" t="inlineStr">
        <is>
          <t>Current Assets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</row>
    <row r="5">
      <c r="A5" s="2" t="inlineStr">
        <is>
          <t xml:space="preserve">  Cash and Equivalents</t>
        </is>
      </c>
      <c r="B5" s="8" t="n">
        <v>11321</v>
      </c>
      <c r="C5" s="8" t="n">
        <v>10496</v>
      </c>
      <c r="D5" s="8" t="n">
        <v>9790</v>
      </c>
      <c r="E5" s="8" t="n">
        <v>10500</v>
      </c>
      <c r="F5" s="8" t="n">
        <v>11200</v>
      </c>
      <c r="G5" s="8" t="n">
        <v>12100</v>
      </c>
      <c r="H5" s="8" t="n">
        <v>13200</v>
      </c>
      <c r="I5" s="8" t="n">
        <v>14400</v>
      </c>
    </row>
    <row r="6">
      <c r="A6" s="2" t="inlineStr">
        <is>
          <t xml:space="preserve">  Short-term Investments</t>
        </is>
      </c>
      <c r="B6" s="8" t="n">
        <v>10949</v>
      </c>
      <c r="C6" s="8" t="n">
        <v>12768</v>
      </c>
      <c r="D6" s="8" t="n">
        <v>14254</v>
      </c>
      <c r="E6" s="8" t="n">
        <v>15300</v>
      </c>
      <c r="F6" s="8" t="n">
        <v>16400</v>
      </c>
      <c r="G6" s="8" t="n">
        <v>17500</v>
      </c>
      <c r="H6" s="8" t="n">
        <v>18700</v>
      </c>
      <c r="I6" s="8" t="n">
        <v>20000</v>
      </c>
    </row>
    <row r="7">
      <c r="A7" s="2" t="inlineStr">
        <is>
          <t xml:space="preserve">  Accounts Receivable</t>
        </is>
      </c>
      <c r="B7" s="8" t="n">
        <v>39000</v>
      </c>
      <c r="C7" s="8" t="n">
        <v>44100</v>
      </c>
      <c r="D7" s="8" t="n">
        <v>47482</v>
      </c>
      <c r="E7" s="8" t="n">
        <v>51000</v>
      </c>
      <c r="F7" s="8" t="n">
        <v>54000</v>
      </c>
      <c r="G7" s="8" t="n">
        <v>57500</v>
      </c>
      <c r="H7" s="8" t="n">
        <v>61000</v>
      </c>
      <c r="I7" s="8" t="n">
        <v>65000</v>
      </c>
    </row>
    <row r="8">
      <c r="A8" s="2" t="inlineStr">
        <is>
          <t xml:space="preserve">  Inventory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</row>
    <row r="9">
      <c r="A9" s="2" t="inlineStr">
        <is>
          <t>Total Current Assets</t>
        </is>
      </c>
      <c r="B9" s="9">
        <f>B5+B6+B7+B8</f>
        <v/>
      </c>
      <c r="C9" s="9">
        <f>C5+C6+C7+C8</f>
        <v/>
      </c>
      <c r="D9" s="9">
        <f>D5+D6+D7+D8</f>
        <v/>
      </c>
      <c r="E9" s="9">
        <f>E5+E6+E7+E8</f>
        <v/>
      </c>
      <c r="F9" s="9">
        <f>F5+F6+F7+F8</f>
        <v/>
      </c>
      <c r="G9" s="9">
        <f>G5+G6+G7+G8</f>
        <v/>
      </c>
      <c r="H9" s="9">
        <f>H5+H6+H7+H8</f>
        <v/>
      </c>
      <c r="I9" s="9">
        <f>I5+I6+I7+I8</f>
        <v/>
      </c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</row>
    <row r="11">
      <c r="A11" s="2" t="inlineStr">
        <is>
          <t>Non-Current Assets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</row>
    <row r="12">
      <c r="A12" s="2" t="inlineStr">
        <is>
          <t xml:space="preserve">  Property, Plant &amp; Equipment, net</t>
        </is>
      </c>
      <c r="B12" s="8" t="n">
        <v>47365</v>
      </c>
      <c r="C12" s="8" t="n">
        <v>52857</v>
      </c>
      <c r="D12" s="8" t="n">
        <v>59569</v>
      </c>
      <c r="E12" s="8" t="n">
        <v>64000</v>
      </c>
      <c r="F12" s="8" t="n">
        <v>68500</v>
      </c>
      <c r="G12" s="8" t="n">
        <v>73200</v>
      </c>
      <c r="H12" s="8" t="n">
        <v>78200</v>
      </c>
      <c r="I12" s="8" t="n">
        <v>83700</v>
      </c>
    </row>
    <row r="13">
      <c r="A13" s="2" t="inlineStr">
        <is>
          <t xml:space="preserve">  Goodwill</t>
        </is>
      </c>
      <c r="B13" s="8" t="n">
        <v>42262</v>
      </c>
      <c r="C13" s="8" t="n">
        <v>42262</v>
      </c>
      <c r="D13" s="8" t="n">
        <v>42262</v>
      </c>
      <c r="E13" s="8" t="n">
        <v>42262</v>
      </c>
      <c r="F13" s="8" t="n">
        <v>42262</v>
      </c>
      <c r="G13" s="8" t="n">
        <v>42262</v>
      </c>
      <c r="H13" s="8" t="n">
        <v>42262</v>
      </c>
      <c r="I13" s="8" t="n">
        <v>42262</v>
      </c>
    </row>
    <row r="14">
      <c r="A14" s="2" t="inlineStr">
        <is>
          <t xml:space="preserve">  Intangible Assets</t>
        </is>
      </c>
      <c r="B14" s="8" t="n">
        <v>21606</v>
      </c>
      <c r="C14" s="8" t="n">
        <v>21606</v>
      </c>
      <c r="D14" s="8" t="n">
        <v>21606</v>
      </c>
      <c r="E14" s="8" t="n">
        <v>21606</v>
      </c>
      <c r="F14" s="8" t="n">
        <v>21606</v>
      </c>
      <c r="G14" s="8" t="n">
        <v>21606</v>
      </c>
      <c r="H14" s="8" t="n">
        <v>21606</v>
      </c>
      <c r="I14" s="8" t="n">
        <v>21606</v>
      </c>
    </row>
    <row r="15">
      <c r="A15" s="2" t="inlineStr">
        <is>
          <t xml:space="preserve">  Other Long-term Assets</t>
        </is>
      </c>
      <c r="B15" s="8" t="n">
        <v>9251</v>
      </c>
      <c r="C15" s="8" t="n">
        <v>9251</v>
      </c>
      <c r="D15" s="8" t="n">
        <v>9251</v>
      </c>
      <c r="E15" s="8" t="n">
        <v>9251</v>
      </c>
      <c r="F15" s="8" t="n">
        <v>9251</v>
      </c>
      <c r="G15" s="8" t="n">
        <v>9251</v>
      </c>
      <c r="H15" s="8" t="n">
        <v>9251</v>
      </c>
      <c r="I15" s="8" t="n">
        <v>9251</v>
      </c>
    </row>
    <row r="16">
      <c r="A16" s="2" t="inlineStr">
        <is>
          <t>Total Assets</t>
        </is>
      </c>
      <c r="B16" s="9">
        <f>B9+B12+B13+B14+B15</f>
        <v/>
      </c>
      <c r="C16" s="9">
        <f>C9+C12+C13+C14+C15</f>
        <v/>
      </c>
      <c r="D16" s="9">
        <f>D9+D12+D13+D14+D15</f>
        <v/>
      </c>
      <c r="E16" s="9">
        <f>E9+E12+E13+E14+E15</f>
        <v/>
      </c>
      <c r="F16" s="9">
        <f>F9+F12+F13+F14+F15</f>
        <v/>
      </c>
      <c r="G16" s="9">
        <f>G9+G12+G13+G14+G15</f>
        <v/>
      </c>
      <c r="H16" s="9">
        <f>H9+H12+H13+H14+H15</f>
        <v/>
      </c>
      <c r="I16" s="9">
        <f>I9+I12+I13+I14+I15</f>
        <v/>
      </c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</row>
    <row r="19">
      <c r="A19" s="2" t="inlineStr">
        <is>
          <t>LIABILITIES &amp; SHAREHOLDERS' EQUITY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</row>
    <row r="20">
      <c r="A20" s="2" t="inlineStr">
        <is>
          <t>Current Liabilities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</row>
    <row r="21">
      <c r="A21" s="2" t="inlineStr">
        <is>
          <t xml:space="preserve">  Accounts Payable</t>
        </is>
      </c>
      <c r="B21" s="8" t="n">
        <v>9302</v>
      </c>
      <c r="C21" s="8" t="n">
        <v>10853</v>
      </c>
      <c r="D21" s="8" t="n">
        <v>12029</v>
      </c>
      <c r="E21" s="8" t="n">
        <v>13000</v>
      </c>
      <c r="F21" s="8" t="n">
        <v>14000</v>
      </c>
      <c r="G21" s="8" t="n">
        <v>15100</v>
      </c>
      <c r="H21" s="8" t="n">
        <v>16300</v>
      </c>
      <c r="I21" s="8" t="n">
        <v>17600</v>
      </c>
    </row>
    <row r="22">
      <c r="A22" s="2" t="inlineStr">
        <is>
          <t xml:space="preserve">  Accrued Expenses</t>
        </is>
      </c>
      <c r="B22" s="8" t="n">
        <v>13529</v>
      </c>
      <c r="C22" s="8" t="n">
        <v>14850</v>
      </c>
      <c r="D22" s="8" t="n">
        <v>16500</v>
      </c>
      <c r="E22" s="8" t="n">
        <v>17500</v>
      </c>
      <c r="F22" s="8" t="n">
        <v>18700</v>
      </c>
      <c r="G22" s="8" t="n">
        <v>20000</v>
      </c>
      <c r="H22" s="8" t="n">
        <v>21400</v>
      </c>
      <c r="I22" s="8" t="n">
        <v>23000</v>
      </c>
    </row>
    <row r="23">
      <c r="A23" s="2" t="inlineStr">
        <is>
          <t xml:space="preserve">  Current Portion of Debt</t>
        </is>
      </c>
      <c r="B23" s="8" t="n">
        <v>3101</v>
      </c>
      <c r="C23" s="8" t="n">
        <v>2775</v>
      </c>
      <c r="D23" s="8" t="n">
        <v>2869</v>
      </c>
      <c r="E23" s="8" t="n">
        <v>3000</v>
      </c>
      <c r="F23" s="8" t="n">
        <v>3200</v>
      </c>
      <c r="G23" s="8" t="n">
        <v>3400</v>
      </c>
      <c r="H23" s="8" t="n">
        <v>3600</v>
      </c>
      <c r="I23" s="8" t="n">
        <v>3800</v>
      </c>
    </row>
    <row r="24">
      <c r="A24" s="2" t="inlineStr">
        <is>
          <t xml:space="preserve">  Deferred Revenue</t>
        </is>
      </c>
      <c r="B24" s="8" t="n">
        <v>36636</v>
      </c>
      <c r="C24" s="8" t="n">
        <v>44674</v>
      </c>
      <c r="D24" s="8" t="n">
        <v>52857</v>
      </c>
      <c r="E24" s="8" t="n">
        <v>56800</v>
      </c>
      <c r="F24" s="8" t="n">
        <v>60500</v>
      </c>
      <c r="G24" s="8" t="n">
        <v>64500</v>
      </c>
      <c r="H24" s="8" t="n">
        <v>68700</v>
      </c>
      <c r="I24" s="8" t="n">
        <v>73300</v>
      </c>
    </row>
    <row r="25">
      <c r="A25" s="2" t="inlineStr">
        <is>
          <t>Total Current Liabilities</t>
        </is>
      </c>
      <c r="B25" s="9">
        <f>B21+B22+B23+B24</f>
        <v/>
      </c>
      <c r="C25" s="9">
        <f>C21+C22+C23+C24</f>
        <v/>
      </c>
      <c r="D25" s="9">
        <f>D21+D22+D23+D24</f>
        <v/>
      </c>
      <c r="E25" s="9">
        <f>E21+E22+E23+E24</f>
        <v/>
      </c>
      <c r="F25" s="9">
        <f>F21+F22+F23+F24</f>
        <v/>
      </c>
      <c r="G25" s="9">
        <f>G21+G22+G23+G24</f>
        <v/>
      </c>
      <c r="H25" s="9">
        <f>H21+H22+H23+H24</f>
        <v/>
      </c>
      <c r="I25" s="9">
        <f>I21+I22+I23+I24</f>
        <v/>
      </c>
    </row>
    <row r="26">
      <c r="A26" s="2" t="inlineStr">
        <is>
          <t>Long-term Debt</t>
        </is>
      </c>
      <c r="B26" s="8" t="n">
        <v>47687</v>
      </c>
      <c r="C26" s="8" t="n">
        <v>47139</v>
      </c>
      <c r="D26" s="8" t="n">
        <v>47229</v>
      </c>
      <c r="E26" s="8" t="n">
        <v>47000</v>
      </c>
      <c r="F26" s="8" t="n">
        <v>47000</v>
      </c>
      <c r="G26" s="8" t="n">
        <v>47000</v>
      </c>
      <c r="H26" s="8" t="n">
        <v>47000</v>
      </c>
      <c r="I26" s="8" t="n">
        <v>47000</v>
      </c>
    </row>
    <row r="27">
      <c r="A27" s="2" t="inlineStr">
        <is>
          <t>Deferred Tax Liability</t>
        </is>
      </c>
      <c r="B27" s="8" t="n">
        <v>2082</v>
      </c>
      <c r="C27" s="8" t="n">
        <v>2082</v>
      </c>
      <c r="D27" s="8" t="n">
        <v>2082</v>
      </c>
      <c r="E27" s="8" t="n">
        <v>2082</v>
      </c>
      <c r="F27" s="8" t="n">
        <v>2082</v>
      </c>
      <c r="G27" s="8" t="n">
        <v>2082</v>
      </c>
      <c r="H27" s="8" t="n">
        <v>2082</v>
      </c>
      <c r="I27" s="8" t="n">
        <v>2082</v>
      </c>
    </row>
    <row r="28">
      <c r="A28" s="2" t="inlineStr">
        <is>
          <t>Total Liabilities</t>
        </is>
      </c>
      <c r="B28" s="9">
        <f>B25+B26+B27</f>
        <v/>
      </c>
      <c r="C28" s="9">
        <f>C25+C26+C27</f>
        <v/>
      </c>
      <c r="D28" s="9">
        <f>D25+D26+D27</f>
        <v/>
      </c>
      <c r="E28" s="9">
        <f>E25+E26+E27</f>
        <v/>
      </c>
      <c r="F28" s="9">
        <f>F25+F26+F27</f>
        <v/>
      </c>
      <c r="G28" s="9">
        <f>G25+G26+G27</f>
        <v/>
      </c>
      <c r="H28" s="9">
        <f>H25+H26+H27</f>
        <v/>
      </c>
      <c r="I28" s="9">
        <f>I25+I26+I27</f>
        <v/>
      </c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</row>
    <row r="30">
      <c r="A30" s="2" t="inlineStr">
        <is>
          <t>Shareholders' Equity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</row>
    <row r="31">
      <c r="A31" s="2" t="inlineStr">
        <is>
          <t xml:space="preserve">  Common Stock &amp; Paid-in Capital</t>
        </is>
      </c>
      <c r="B31" s="8" t="n">
        <v>78156</v>
      </c>
      <c r="C31" s="8" t="n">
        <v>81044</v>
      </c>
      <c r="D31" s="8" t="n">
        <v>82951</v>
      </c>
      <c r="E31" s="8" t="n">
        <v>85000</v>
      </c>
      <c r="F31" s="8" t="n">
        <v>88000</v>
      </c>
      <c r="G31" s="8" t="n">
        <v>91000</v>
      </c>
      <c r="H31" s="8" t="n">
        <v>94000</v>
      </c>
      <c r="I31" s="8" t="n">
        <v>97500</v>
      </c>
    </row>
    <row r="32">
      <c r="A32" s="2" t="inlineStr">
        <is>
          <t xml:space="preserve">  Retained Earnings</t>
        </is>
      </c>
      <c r="B32" s="8" t="n">
        <v>109717</v>
      </c>
      <c r="C32" s="8" t="n">
        <v>123498</v>
      </c>
      <c r="D32" s="8" t="n">
        <v>139364</v>
      </c>
      <c r="E32" s="8" t="n">
        <v>158000</v>
      </c>
      <c r="F32" s="8" t="n">
        <v>179000</v>
      </c>
      <c r="G32" s="8" t="n">
        <v>203000</v>
      </c>
      <c r="H32" s="8" t="n">
        <v>230000</v>
      </c>
      <c r="I32" s="8" t="n">
        <v>261000</v>
      </c>
    </row>
    <row r="33">
      <c r="A33" s="2" t="inlineStr">
        <is>
          <t xml:space="preserve">  Accumulated Other Comprehensive Income</t>
        </is>
      </c>
      <c r="B33" s="8" t="n">
        <v>-7644</v>
      </c>
      <c r="C33" s="8" t="n">
        <v>-8345</v>
      </c>
      <c r="D33" s="8" t="n">
        <v>-9652</v>
      </c>
      <c r="E33" s="8" t="n">
        <v>-10000</v>
      </c>
      <c r="F33" s="8" t="n">
        <v>-11000</v>
      </c>
      <c r="G33" s="8" t="n">
        <v>-12000</v>
      </c>
      <c r="H33" s="8" t="n">
        <v>-13000</v>
      </c>
      <c r="I33" s="8" t="n">
        <v>-14000</v>
      </c>
    </row>
    <row r="34">
      <c r="A34" s="2" t="inlineStr">
        <is>
          <t>Total Shareholders' Equity</t>
        </is>
      </c>
      <c r="B34" s="9">
        <f>B31+B32+B33</f>
        <v/>
      </c>
      <c r="C34" s="9">
        <f>C31+C32+C33</f>
        <v/>
      </c>
      <c r="D34" s="9">
        <f>D31+D32+D33</f>
        <v/>
      </c>
      <c r="E34" s="9">
        <f>E31+E32+E33</f>
        <v/>
      </c>
      <c r="F34" s="9">
        <f>F31+F32+F33</f>
        <v/>
      </c>
      <c r="G34" s="9">
        <f>G31+G32+G33</f>
        <v/>
      </c>
      <c r="H34" s="9">
        <f>H31+H32+H33</f>
        <v/>
      </c>
      <c r="I34" s="9">
        <f>I31+I32+I33</f>
        <v/>
      </c>
    </row>
    <row r="35">
      <c r="A35" s="2" t="inlineStr">
        <is>
          <t>Total Liabilities &amp; Equity</t>
        </is>
      </c>
      <c r="B35" s="9">
        <f>B28+B34</f>
        <v/>
      </c>
      <c r="C35" s="9">
        <f>C28+C34</f>
        <v/>
      </c>
      <c r="D35" s="9">
        <f>D28+D34</f>
        <v/>
      </c>
      <c r="E35" s="9">
        <f>E28+E34</f>
        <v/>
      </c>
      <c r="F35" s="9">
        <f>F28+F34</f>
        <v/>
      </c>
      <c r="G35" s="9">
        <f>G28+G34</f>
        <v/>
      </c>
      <c r="H35" s="9">
        <f>H28+H34</f>
        <v/>
      </c>
      <c r="I35" s="9">
        <f>I28+I34</f>
        <v/>
      </c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</row>
    <row r="37">
      <c r="A37" s="2" t="inlineStr">
        <is>
          <t>BALANCE CHECK (Assets - L - E)</t>
        </is>
      </c>
      <c r="B37" s="10">
        <f>B16-B35</f>
        <v/>
      </c>
      <c r="C37" s="10">
        <f>C16-C35</f>
        <v/>
      </c>
      <c r="D37" s="10">
        <f>D16-D35</f>
        <v/>
      </c>
      <c r="E37" s="10">
        <f>E16-E35</f>
        <v/>
      </c>
      <c r="F37" s="10">
        <f>F16-F35</f>
        <v/>
      </c>
      <c r="G37" s="10">
        <f>G16-G35</f>
        <v/>
      </c>
      <c r="H37" s="10">
        <f>H16-H35</f>
        <v/>
      </c>
      <c r="I37" s="10">
        <f>I16-I35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6" t="inlineStr"/>
      <c r="B1" s="7" t="inlineStr">
        <is>
          <t>2021</t>
        </is>
      </c>
      <c r="C1" s="7" t="inlineStr">
        <is>
          <t>2022</t>
        </is>
      </c>
      <c r="D1" s="7" t="inlineStr">
        <is>
          <t>2023</t>
        </is>
      </c>
      <c r="E1" s="7" t="inlineStr">
        <is>
          <t>2024</t>
        </is>
      </c>
      <c r="F1" s="7" t="inlineStr">
        <is>
          <t>2025</t>
        </is>
      </c>
      <c r="G1" s="7" t="inlineStr">
        <is>
          <t>2026</t>
        </is>
      </c>
      <c r="H1" s="7" t="inlineStr">
        <is>
          <t>2027</t>
        </is>
      </c>
      <c r="I1" s="7" t="inlineStr">
        <is>
          <t>2028</t>
        </is>
      </c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</row>
    <row r="3">
      <c r="A3" s="2" t="inlineStr">
        <is>
          <t>OPERATING ACTIVITIES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</row>
    <row r="4">
      <c r="A4" s="2" t="inlineStr">
        <is>
          <t>Net Income</t>
        </is>
      </c>
      <c r="B4" s="11">
        <f>'Income Statement'!B51</f>
        <v/>
      </c>
      <c r="C4" s="11">
        <f>'Income Statement'!C51</f>
        <v/>
      </c>
      <c r="D4" s="11">
        <f>'Income Statement'!D51</f>
        <v/>
      </c>
      <c r="E4" s="11">
        <f>'Income Statement'!E51</f>
        <v/>
      </c>
      <c r="F4" s="11">
        <f>'Income Statement'!F51</f>
        <v/>
      </c>
      <c r="G4" s="11">
        <f>'Income Statement'!G51</f>
        <v/>
      </c>
      <c r="H4" s="11">
        <f>'Income Statement'!H51</f>
        <v/>
      </c>
      <c r="I4" s="11">
        <f>'Income Statement'!I51</f>
        <v/>
      </c>
    </row>
    <row r="5">
      <c r="A5" s="2" t="inlineStr">
        <is>
          <t>Depreciation &amp; Amortization</t>
        </is>
      </c>
      <c r="B5" s="8" t="n">
        <v>10164</v>
      </c>
      <c r="C5" s="8" t="n">
        <v>11473</v>
      </c>
      <c r="D5" s="8" t="n">
        <v>12992</v>
      </c>
      <c r="E5" s="8" t="n">
        <v>13900</v>
      </c>
      <c r="F5" s="8" t="n">
        <v>14800</v>
      </c>
      <c r="G5" s="8" t="n">
        <v>15800</v>
      </c>
      <c r="H5" s="8" t="n">
        <v>16900</v>
      </c>
      <c r="I5" s="8" t="n">
        <v>18100</v>
      </c>
    </row>
    <row r="6">
      <c r="A6" s="2" t="inlineStr">
        <is>
          <t>Stock-Based Compensation</t>
        </is>
      </c>
      <c r="B6" s="8" t="n">
        <v>8474</v>
      </c>
      <c r="C6" s="8" t="n">
        <v>8886</v>
      </c>
      <c r="D6" s="8" t="n">
        <v>9345</v>
      </c>
      <c r="E6" s="8" t="n">
        <v>10000</v>
      </c>
      <c r="F6" s="8" t="n">
        <v>10700</v>
      </c>
      <c r="G6" s="8" t="n">
        <v>11450</v>
      </c>
      <c r="H6" s="8" t="n">
        <v>12250</v>
      </c>
      <c r="I6" s="8" t="n">
        <v>13100</v>
      </c>
    </row>
    <row r="7">
      <c r="A7" s="2" t="inlineStr">
        <is>
          <t>Working Capital Changes</t>
        </is>
      </c>
      <c r="B7" s="8" t="n">
        <v>-1223</v>
      </c>
      <c r="C7" s="8" t="n">
        <v>1800</v>
      </c>
      <c r="D7" s="8" t="n">
        <v>2100</v>
      </c>
      <c r="E7" s="8" t="n">
        <v>1200</v>
      </c>
      <c r="F7" s="8" t="n">
        <v>800</v>
      </c>
      <c r="G7" s="8" t="n">
        <v>500</v>
      </c>
      <c r="H7" s="8" t="n">
        <v>300</v>
      </c>
      <c r="I7" s="8" t="n">
        <v>200</v>
      </c>
    </row>
    <row r="8">
      <c r="A8" s="2" t="inlineStr">
        <is>
          <t>Other Operating</t>
        </is>
      </c>
      <c r="B8" s="8" t="n">
        <v>445</v>
      </c>
      <c r="C8" s="8" t="n">
        <v>-1348</v>
      </c>
      <c r="D8" s="8" t="n">
        <v>1239</v>
      </c>
      <c r="E8" s="8" t="n">
        <v>500</v>
      </c>
      <c r="F8" s="8" t="n">
        <v>300</v>
      </c>
      <c r="G8" s="8" t="n">
        <v>200</v>
      </c>
      <c r="H8" s="8" t="n">
        <v>100</v>
      </c>
      <c r="I8" s="8" t="n">
        <v>50</v>
      </c>
    </row>
    <row r="9">
      <c r="A9" s="2" t="inlineStr">
        <is>
          <t>Operating Cash Flow</t>
        </is>
      </c>
      <c r="B9" s="9">
        <f>B4+B5+B6+B7+B8</f>
        <v/>
      </c>
      <c r="C9" s="9">
        <f>C4+C5+C6+C7+C8</f>
        <v/>
      </c>
      <c r="D9" s="9">
        <f>D4+D5+D6+D7+D8</f>
        <v/>
      </c>
      <c r="E9" s="9">
        <f>E4+E5+E6+E7+E8</f>
        <v/>
      </c>
      <c r="F9" s="9">
        <f>F4+F5+F6+F7+F8</f>
        <v/>
      </c>
      <c r="G9" s="9">
        <f>G4+G5+G6+G7+G8</f>
        <v/>
      </c>
      <c r="H9" s="9">
        <f>H4+H5+H6+H7+H8</f>
        <v/>
      </c>
      <c r="I9" s="9">
        <f>I4+I5+I6+I7+I8</f>
        <v/>
      </c>
    </row>
    <row r="10">
      <c r="A10" s="27" t="n"/>
      <c r="B10" s="27">
        <f>'Income Statement'!B51</f>
        <v/>
      </c>
      <c r="C10" s="27">
        <f>'Income Statement'!C51</f>
        <v/>
      </c>
      <c r="D10" s="27">
        <f>'Income Statement'!D51</f>
        <v/>
      </c>
      <c r="E10" s="27">
        <f>'Income Statement'!E51</f>
        <v/>
      </c>
      <c r="F10" s="27">
        <f>'Income Statement'!F51</f>
        <v/>
      </c>
      <c r="G10" s="27">
        <f>'Income Statement'!G51</f>
        <v/>
      </c>
      <c r="H10" s="27">
        <f>'Income Statement'!H51</f>
        <v/>
      </c>
      <c r="I10" s="27">
        <f>'Income Statement'!I51</f>
        <v/>
      </c>
    </row>
    <row r="11">
      <c r="A11" s="2" t="inlineStr">
        <is>
          <t>INVESTING ACTIVITIES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</row>
    <row r="12">
      <c r="A12" s="2" t="inlineStr">
        <is>
          <t>Capital Expenditures</t>
        </is>
      </c>
      <c r="B12" s="9">
        <f>-'Income Statement'!B2*Assumptions!$B$47</f>
        <v/>
      </c>
      <c r="C12" s="9">
        <f>-'Income Statement'!C2*Assumptions!$B$47</f>
        <v/>
      </c>
      <c r="D12" s="9">
        <f>-'Income Statement'!D2*Assumptions!$B$47</f>
        <v/>
      </c>
      <c r="E12" s="9">
        <f>-'Income Statement'!E2*Assumptions!$B$47</f>
        <v/>
      </c>
      <c r="F12" s="9">
        <f>-'Income Statement'!F2*Assumptions!$B$47</f>
        <v/>
      </c>
      <c r="G12" s="9">
        <f>-'Income Statement'!G2*Assumptions!$B$47</f>
        <v/>
      </c>
      <c r="H12" s="9">
        <f>-'Income Statement'!H2*Assumptions!$B$47</f>
        <v/>
      </c>
      <c r="I12" s="9">
        <f>-'Income Statement'!I2*Assumptions!$B$47</f>
        <v/>
      </c>
    </row>
    <row r="13">
      <c r="A13" s="2" t="inlineStr">
        <is>
          <t>Acquisitions</t>
        </is>
      </c>
      <c r="B13" s="8" t="n">
        <v>0</v>
      </c>
      <c r="C13" s="8" t="n">
        <v>0</v>
      </c>
      <c r="D13" s="8" t="n">
        <v>0</v>
      </c>
      <c r="E13" s="8" t="n">
        <v>-2000</v>
      </c>
      <c r="F13" s="8" t="n">
        <v>0</v>
      </c>
      <c r="G13" s="8" t="n">
        <v>0</v>
      </c>
      <c r="H13" s="8" t="n">
        <v>0</v>
      </c>
      <c r="I13" s="8" t="n">
        <v>0</v>
      </c>
    </row>
    <row r="14">
      <c r="A14" s="2" t="inlineStr">
        <is>
          <t>Investment Sales/(Purchases)</t>
        </is>
      </c>
      <c r="B14" s="8" t="n">
        <v>6500</v>
      </c>
      <c r="C14" s="8" t="n">
        <v>-1900</v>
      </c>
      <c r="D14" s="8" t="n">
        <v>-1600</v>
      </c>
      <c r="E14" s="8" t="n">
        <v>-1000</v>
      </c>
      <c r="F14" s="8" t="n">
        <v>-1100</v>
      </c>
      <c r="G14" s="8" t="n">
        <v>-1200</v>
      </c>
      <c r="H14" s="8" t="n">
        <v>-1300</v>
      </c>
      <c r="I14" s="8" t="n">
        <v>-1400</v>
      </c>
    </row>
    <row r="15">
      <c r="A15" s="2" t="inlineStr">
        <is>
          <t>Investing Cash Flow</t>
        </is>
      </c>
      <c r="B15" s="9">
        <f>B12+B13+B14</f>
        <v/>
      </c>
      <c r="C15" s="9">
        <f>C12+C13+C14</f>
        <v/>
      </c>
      <c r="D15" s="9">
        <f>D12+D13+D14</f>
        <v/>
      </c>
      <c r="E15" s="9">
        <f>E12+E13+E14</f>
        <v/>
      </c>
      <c r="F15" s="9">
        <f>F12+F13+F14</f>
        <v/>
      </c>
      <c r="G15" s="9">
        <f>G12+G13+G14</f>
        <v/>
      </c>
      <c r="H15" s="9">
        <f>H12+H13+H14</f>
        <v/>
      </c>
      <c r="I15" s="9">
        <f>I12+I13+I14</f>
        <v/>
      </c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</row>
    <row r="17">
      <c r="A17" s="2" t="inlineStr">
        <is>
          <t>FINANCING ACTIVITIES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</row>
    <row r="18">
      <c r="A18" s="2" t="inlineStr">
        <is>
          <t>Debt Issuance/(Repayment)</t>
        </is>
      </c>
      <c r="B18" s="8" t="n">
        <v>6000</v>
      </c>
      <c r="C18" s="8" t="n">
        <v>-4000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</row>
    <row r="19">
      <c r="A19" s="2" t="inlineStr">
        <is>
          <t>Share Repurchases</t>
        </is>
      </c>
      <c r="B19" s="8" t="n">
        <v>-22110</v>
      </c>
      <c r="C19" s="8" t="n">
        <v>-26608</v>
      </c>
      <c r="D19" s="8" t="n">
        <v>-27185</v>
      </c>
      <c r="E19" s="8" t="n">
        <v>-30000</v>
      </c>
      <c r="F19" s="8" t="n">
        <v>-32000</v>
      </c>
      <c r="G19" s="8" t="n">
        <v>-34000</v>
      </c>
      <c r="H19" s="8" t="n">
        <v>-36000</v>
      </c>
      <c r="I19" s="8" t="n">
        <v>-38000</v>
      </c>
    </row>
    <row r="20">
      <c r="A20" s="2" t="inlineStr">
        <is>
          <t>Dividends Paid</t>
        </is>
      </c>
      <c r="B20" s="8" t="n">
        <v>-15158</v>
      </c>
      <c r="C20" s="8" t="n">
        <v>-15952</v>
      </c>
      <c r="D20" s="8" t="n">
        <v>-18466</v>
      </c>
      <c r="E20" s="8" t="n">
        <v>-20000</v>
      </c>
      <c r="F20" s="8" t="n">
        <v>-21000</v>
      </c>
      <c r="G20" s="8" t="n">
        <v>-22500</v>
      </c>
      <c r="H20" s="8" t="n">
        <v>-24000</v>
      </c>
      <c r="I20" s="8" t="n">
        <v>-25500</v>
      </c>
    </row>
    <row r="21">
      <c r="A21" s="2" t="inlineStr">
        <is>
          <t>Financing Cash Flow</t>
        </is>
      </c>
      <c r="B21" s="9">
        <f>B18+B19+B20</f>
        <v/>
      </c>
      <c r="C21" s="9">
        <f>C18+C19+C20</f>
        <v/>
      </c>
      <c r="D21" s="9">
        <f>D18+D19+D20</f>
        <v/>
      </c>
      <c r="E21" s="9">
        <f>E18+E19+E20</f>
        <v/>
      </c>
      <c r="F21" s="9">
        <f>F18+F19+F20</f>
        <v/>
      </c>
      <c r="G21" s="9">
        <f>G18+G19+G20</f>
        <v/>
      </c>
      <c r="H21" s="9">
        <f>H18+H19+H20</f>
        <v/>
      </c>
      <c r="I21" s="9">
        <f>I18+I19+I20</f>
        <v/>
      </c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</row>
    <row r="23">
      <c r="A23" s="2" t="inlineStr">
        <is>
          <t>Net Change in Cash</t>
        </is>
      </c>
      <c r="B23" s="9">
        <f>B9+B15+B21</f>
        <v/>
      </c>
      <c r="C23" s="9">
        <f>C9+C15+C21</f>
        <v/>
      </c>
      <c r="D23" s="9">
        <f>D9+D15+D21</f>
        <v/>
      </c>
      <c r="E23" s="9">
        <f>E9+E15+E21</f>
        <v/>
      </c>
      <c r="F23" s="9">
        <f>F9+F15+F21</f>
        <v/>
      </c>
      <c r="G23" s="9">
        <f>G9+G15+G21</f>
        <v/>
      </c>
      <c r="H23" s="9">
        <f>H9+H15+H21</f>
        <v/>
      </c>
      <c r="I23" s="9">
        <f>I9+I15+I21</f>
        <v/>
      </c>
    </row>
    <row r="24">
      <c r="A24" s="2" t="inlineStr">
        <is>
          <t>Beginning Cash</t>
        </is>
      </c>
      <c r="B24" s="11">
        <f>'Balance Sheet'!A3</f>
        <v/>
      </c>
      <c r="C24" s="11">
        <f>'Balance Sheet'!B3</f>
        <v/>
      </c>
      <c r="D24" s="11">
        <f>'Balance Sheet'!C3</f>
        <v/>
      </c>
      <c r="E24" s="11">
        <f>'Balance Sheet'!D3</f>
        <v/>
      </c>
      <c r="F24" s="11">
        <f>'Balance Sheet'!E3</f>
        <v/>
      </c>
      <c r="G24" s="11">
        <f>'Balance Sheet'!F3</f>
        <v/>
      </c>
      <c r="H24" s="11">
        <f>'Balance Sheet'!G3</f>
        <v/>
      </c>
      <c r="I24" s="11">
        <f>H24</f>
        <v/>
      </c>
    </row>
    <row r="25">
      <c r="A25" s="2" t="inlineStr">
        <is>
          <t>Ending Cash</t>
        </is>
      </c>
      <c r="B25" s="9">
        <f>B24+B23</f>
        <v/>
      </c>
      <c r="C25" s="9">
        <f>C24+C23</f>
        <v/>
      </c>
      <c r="D25" s="9">
        <f>D24+D23</f>
        <v/>
      </c>
      <c r="E25" s="9">
        <f>E24+E23</f>
        <v/>
      </c>
      <c r="F25" s="9">
        <f>F24+F23</f>
        <v/>
      </c>
      <c r="G25" s="9">
        <f>G24+G23</f>
        <v/>
      </c>
      <c r="H25" s="9">
        <f>H24+H23</f>
        <v/>
      </c>
      <c r="I25" s="9">
        <f>I24+I23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2" t="inlineStr">
        <is>
          <t>DCF VALUATION MODEL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</row>
    <row r="3">
      <c r="A3" s="12" t="inlineStr">
        <is>
          <t>UNLEVERED FREE CASH FLOW PROJECTIONS ($ millions)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</row>
    <row r="4">
      <c r="A4" s="12" t="inlineStr">
        <is>
          <t>Year</t>
        </is>
      </c>
      <c r="B4" s="7" t="inlineStr">
        <is>
          <t>2024E</t>
        </is>
      </c>
      <c r="C4" s="7" t="inlineStr">
        <is>
          <t>2025E</t>
        </is>
      </c>
      <c r="D4" s="7" t="inlineStr">
        <is>
          <t>2026E</t>
        </is>
      </c>
      <c r="E4" s="7" t="inlineStr">
        <is>
          <t>2027E</t>
        </is>
      </c>
      <c r="F4" s="7" t="inlineStr">
        <is>
          <t>2028E</t>
        </is>
      </c>
      <c r="G4" s="27" t="n"/>
      <c r="H4" s="27" t="n"/>
      <c r="I4" s="27" t="n"/>
    </row>
    <row r="5">
      <c r="A5" s="2" t="inlineStr">
        <is>
          <t>EBIT</t>
        </is>
      </c>
      <c r="B5" s="11">
        <f>'Income Statement'!B30</f>
        <v/>
      </c>
      <c r="C5" s="11">
        <f>'Income Statement'!C30</f>
        <v/>
      </c>
      <c r="D5" s="11">
        <f>'Income Statement'!D30</f>
        <v/>
      </c>
      <c r="E5" s="11">
        <f>'Income Statement'!E30</f>
        <v/>
      </c>
      <c r="F5" s="11">
        <f>'Income Statement'!F30</f>
        <v/>
      </c>
      <c r="G5" s="27" t="n"/>
      <c r="H5" s="27" t="n"/>
      <c r="I5" s="27" t="n"/>
    </row>
    <row r="6">
      <c r="A6" s="2" t="inlineStr">
        <is>
          <t>Less: Tax on EBIT</t>
        </is>
      </c>
      <c r="B6" s="9">
        <f>B5*Assumptions!$B$28</f>
        <v/>
      </c>
      <c r="C6" s="9">
        <f>C5*Assumptions!$B$28</f>
        <v/>
      </c>
      <c r="D6" s="9">
        <f>D5*Assumptions!$B$28</f>
        <v/>
      </c>
      <c r="E6" s="9">
        <f>E5*Assumptions!$B$28</f>
        <v/>
      </c>
      <c r="F6" s="9">
        <f>F5*Assumptions!$B$28</f>
        <v/>
      </c>
      <c r="G6" s="27" t="n"/>
      <c r="H6" s="27" t="n"/>
      <c r="I6" s="27" t="n"/>
    </row>
    <row r="7">
      <c r="A7" s="2" t="inlineStr">
        <is>
          <t>NOPAT (EBIT * (1-Tax))</t>
        </is>
      </c>
      <c r="B7" s="9">
        <f>B5-B6</f>
        <v/>
      </c>
      <c r="C7" s="9">
        <f>C5-C6</f>
        <v/>
      </c>
      <c r="D7" s="9">
        <f>D5-D6</f>
        <v/>
      </c>
      <c r="E7" s="9">
        <f>E5-E6</f>
        <v/>
      </c>
      <c r="F7" s="9">
        <f>F5-F6</f>
        <v/>
      </c>
      <c r="G7" s="27" t="n"/>
      <c r="H7" s="27" t="n"/>
      <c r="I7" s="27" t="n"/>
    </row>
    <row r="8">
      <c r="A8" s="2" t="inlineStr">
        <is>
          <t>Add: Depreciation &amp; Amortization</t>
        </is>
      </c>
      <c r="B8" s="11">
        <f>'Cash Flow Statement'!B17</f>
        <v/>
      </c>
      <c r="C8" s="11">
        <f>'Cash Flow Statement'!C17</f>
        <v/>
      </c>
      <c r="D8" s="11">
        <f>'Cash Flow Statement'!D17</f>
        <v/>
      </c>
      <c r="E8" s="11">
        <f>'Cash Flow Statement'!E17</f>
        <v/>
      </c>
      <c r="F8" s="11">
        <f>'Cash Flow Statement'!F17</f>
        <v/>
      </c>
      <c r="G8" s="27" t="n"/>
      <c r="H8" s="27" t="n"/>
      <c r="I8" s="27" t="n"/>
    </row>
    <row r="9">
      <c r="A9" s="2" t="inlineStr">
        <is>
          <t>Less: CapEx</t>
        </is>
      </c>
      <c r="B9" s="11">
        <f>'Cash Flow Statement'!B22</f>
        <v/>
      </c>
      <c r="C9" s="11">
        <f>'Cash Flow Statement'!C22</f>
        <v/>
      </c>
      <c r="D9" s="11">
        <f>'Cash Flow Statement'!D22</f>
        <v/>
      </c>
      <c r="E9" s="11">
        <f>'Cash Flow Statement'!E22</f>
        <v/>
      </c>
      <c r="F9" s="11">
        <f>'Cash Flow Statement'!F22</f>
        <v/>
      </c>
      <c r="G9" s="27" t="n"/>
      <c r="H9" s="27" t="n"/>
      <c r="I9" s="27" t="n"/>
    </row>
    <row r="10">
      <c r="A10" s="2" t="inlineStr">
        <is>
          <t>Less: Change in NWC</t>
        </is>
      </c>
      <c r="B10" s="11">
        <f>'Cash Flow Statement'!B20</f>
        <v/>
      </c>
      <c r="C10" s="11">
        <f>'Cash Flow Statement'!C20</f>
        <v/>
      </c>
      <c r="D10" s="11">
        <f>'Cash Flow Statement'!D20</f>
        <v/>
      </c>
      <c r="E10" s="11">
        <f>'Cash Flow Statement'!E20</f>
        <v/>
      </c>
      <c r="F10" s="11">
        <f>'Cash Flow Statement'!F20</f>
        <v/>
      </c>
      <c r="G10" s="27" t="n"/>
      <c r="H10" s="27" t="n"/>
      <c r="I10" s="27" t="n"/>
    </row>
    <row r="11">
      <c r="A11" s="2" t="inlineStr">
        <is>
          <t>Unlevered Free Cash Flow</t>
        </is>
      </c>
      <c r="B11" s="9">
        <f>B7+B8+B9+B10</f>
        <v/>
      </c>
      <c r="C11" s="9">
        <f>C7+C8+C9+C10</f>
        <v/>
      </c>
      <c r="D11" s="9">
        <f>D7+D8+D9+D10</f>
        <v/>
      </c>
      <c r="E11" s="9">
        <f>E7+E8+E9+E10</f>
        <v/>
      </c>
      <c r="F11" s="9">
        <f>F7+F8+F9+F10</f>
        <v/>
      </c>
      <c r="G11" s="27" t="n"/>
      <c r="H11" s="27" t="n"/>
      <c r="I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</row>
    <row r="13">
      <c r="A13" s="2" t="inlineStr">
        <is>
          <t>Discount Factors (1/(1+WACC)^n)</t>
        </is>
      </c>
      <c r="B13" s="13">
        <f>1/(1+Assumptions!$B$67)^1</f>
        <v/>
      </c>
      <c r="C13" s="13">
        <f>1/(1+Assumptions!$B$67)^2</f>
        <v/>
      </c>
      <c r="D13" s="13">
        <f>1/(1+Assumptions!$B$67)^3</f>
        <v/>
      </c>
      <c r="E13" s="13">
        <f>1/(1+Assumptions!$B$67)^4</f>
        <v/>
      </c>
      <c r="F13" s="13">
        <f>1/(1+Assumptions!$B$67)^5</f>
        <v/>
      </c>
      <c r="G13" s="27" t="n"/>
      <c r="H13" s="27" t="n"/>
      <c r="I13" s="27" t="n"/>
    </row>
    <row r="14">
      <c r="A14" s="2" t="inlineStr">
        <is>
          <t>PV of UFCF</t>
        </is>
      </c>
      <c r="B14" s="9">
        <f>B11*B13</f>
        <v/>
      </c>
      <c r="C14" s="9">
        <f>C11*C13</f>
        <v/>
      </c>
      <c r="D14" s="9">
        <f>D11*D13</f>
        <v/>
      </c>
      <c r="E14" s="9">
        <f>E11*E13</f>
        <v/>
      </c>
      <c r="F14" s="9">
        <f>F11*F13</f>
        <v/>
      </c>
      <c r="G14" s="27" t="n"/>
      <c r="H14" s="27" t="n"/>
      <c r="I14" s="27" t="n"/>
    </row>
    <row r="15">
      <c r="A15" s="2" t="inlineStr">
        <is>
          <t>Sum PV of Explicit FCF (2024-2028)</t>
        </is>
      </c>
      <c r="B15" s="9">
        <f>'Income Statement'!B30</f>
        <v/>
      </c>
      <c r="C15" s="27">
        <f>'Income Statement'!C30</f>
        <v/>
      </c>
      <c r="D15" s="27">
        <f>'Income Statement'!D30</f>
        <v/>
      </c>
      <c r="E15" s="27">
        <f>'Income Statement'!E30</f>
        <v/>
      </c>
      <c r="F15" s="27">
        <f>'Income Statement'!F30</f>
        <v/>
      </c>
      <c r="G15" s="27">
        <f>'Income Statement'!G30</f>
        <v/>
      </c>
      <c r="H15" s="27">
        <f>'Income Statement'!H30</f>
        <v/>
      </c>
      <c r="I15" s="27">
        <f>'Income Statement'!I30</f>
        <v/>
      </c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</row>
    <row r="17">
      <c r="A17" s="2" t="inlineStr">
        <is>
          <t>TERMINAL VALUE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</row>
    <row r="18">
      <c r="A18" s="2" t="inlineStr">
        <is>
          <t>2028E UFCF</t>
        </is>
      </c>
      <c r="B18" s="11">
        <f>F11</f>
        <v/>
      </c>
      <c r="C18" s="27" t="n"/>
      <c r="D18" s="27" t="n"/>
      <c r="E18" s="27" t="n"/>
      <c r="F18" s="27" t="n"/>
      <c r="G18" s="27" t="n"/>
      <c r="H18" s="27" t="n"/>
      <c r="I18" s="27" t="n"/>
    </row>
    <row r="19">
      <c r="A19" s="2" t="inlineStr">
        <is>
          <t>Terminal Growth Rate</t>
        </is>
      </c>
      <c r="B19" s="5">
        <f>Assumptions!$B$72</f>
        <v/>
      </c>
      <c r="C19" s="27" t="n"/>
      <c r="D19" s="27" t="n"/>
      <c r="E19" s="27" t="n"/>
      <c r="F19" s="27" t="n"/>
      <c r="G19" s="27" t="n"/>
      <c r="H19" s="27" t="n"/>
      <c r="I19" s="27" t="n"/>
    </row>
    <row r="20">
      <c r="A20" s="2" t="inlineStr">
        <is>
          <t>Terminal Year UFCF</t>
        </is>
      </c>
      <c r="B20" s="9">
        <f>B18*(1+B19)</f>
        <v/>
      </c>
      <c r="C20" s="27" t="n"/>
      <c r="D20" s="27" t="n"/>
      <c r="E20" s="27" t="n"/>
      <c r="F20" s="27" t="n"/>
      <c r="G20" s="27" t="n"/>
      <c r="H20" s="27" t="n"/>
      <c r="I20" s="27" t="n"/>
    </row>
    <row r="21">
      <c r="A21" s="2" t="inlineStr">
        <is>
          <t>WACC</t>
        </is>
      </c>
      <c r="B21" s="5">
        <f>Assumptions!$B$67</f>
        <v/>
      </c>
      <c r="C21" s="27" t="n"/>
      <c r="D21" s="27" t="n"/>
      <c r="E21" s="27" t="n"/>
      <c r="F21" s="27" t="n"/>
      <c r="G21" s="27" t="n"/>
      <c r="H21" s="27" t="n"/>
      <c r="I21" s="27" t="n"/>
    </row>
    <row r="22">
      <c r="A22" s="2" t="inlineStr">
        <is>
          <t>Terminal Value = TV UFCF / (WACC - g)</t>
        </is>
      </c>
      <c r="B22" s="9">
        <f>B20/(B21-B19)</f>
        <v/>
      </c>
      <c r="C22" s="27" t="n"/>
      <c r="D22" s="27" t="n"/>
      <c r="E22" s="27" t="n"/>
      <c r="F22" s="27" t="n"/>
      <c r="G22" s="27" t="n"/>
      <c r="H22" s="27" t="n"/>
      <c r="I22" s="27" t="n"/>
    </row>
    <row r="23">
      <c r="A23" s="2" t="inlineStr">
        <is>
          <t>Discount Factor (Year 5)</t>
        </is>
      </c>
      <c r="B23" s="13">
        <f>1/(1+B21)^5</f>
        <v/>
      </c>
      <c r="C23" s="27" t="n"/>
      <c r="D23" s="27" t="n"/>
      <c r="E23" s="27" t="n"/>
      <c r="F23" s="27" t="n"/>
      <c r="G23" s="27" t="n"/>
      <c r="H23" s="27" t="n"/>
      <c r="I23" s="27" t="n"/>
    </row>
    <row r="24">
      <c r="A24" s="2" t="inlineStr">
        <is>
          <t>PV of Terminal Value</t>
        </is>
      </c>
      <c r="B24" s="9">
        <f>B22*B23</f>
        <v/>
      </c>
      <c r="C24" s="27" t="n"/>
      <c r="D24" s="27" t="n"/>
      <c r="E24" s="27" t="n"/>
      <c r="F24" s="27" t="n"/>
      <c r="G24" s="27" t="n"/>
      <c r="H24" s="27" t="n"/>
      <c r="I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</row>
    <row r="26">
      <c r="A26" s="2" t="inlineStr">
        <is>
          <t>VALUATION SUMMARY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</row>
    <row r="27">
      <c r="A27" s="2" t="inlineStr">
        <is>
          <t>PV of Explicit FCF</t>
        </is>
      </c>
      <c r="B27" s="9">
        <f>B15</f>
        <v/>
      </c>
      <c r="C27" s="27" t="n"/>
      <c r="D27" s="27" t="n"/>
      <c r="E27" s="27" t="n"/>
      <c r="F27" s="27" t="n"/>
      <c r="G27" s="27" t="n"/>
      <c r="H27" s="27" t="n"/>
      <c r="I27" s="27" t="n"/>
    </row>
    <row r="28">
      <c r="A28" s="2" t="inlineStr">
        <is>
          <t>PV of Terminal Value</t>
        </is>
      </c>
      <c r="B28" s="9">
        <f>B24</f>
        <v/>
      </c>
      <c r="C28" s="27" t="n"/>
      <c r="D28" s="27" t="n"/>
      <c r="E28" s="27" t="n"/>
      <c r="F28" s="27" t="n"/>
      <c r="G28" s="27" t="n"/>
      <c r="H28" s="27" t="n"/>
      <c r="I28" s="27" t="n"/>
    </row>
    <row r="29">
      <c r="A29" s="2" t="inlineStr">
        <is>
          <t>Enterprise Value</t>
        </is>
      </c>
      <c r="B29" s="9">
        <f>B27+B28</f>
        <v/>
      </c>
      <c r="C29" s="27" t="n"/>
      <c r="D29" s="27" t="n"/>
      <c r="E29" s="27" t="n"/>
      <c r="F29" s="27" t="n"/>
      <c r="G29" s="27" t="n"/>
      <c r="H29" s="27" t="n"/>
      <c r="I29" s="27" t="n"/>
    </row>
    <row r="30">
      <c r="A30" s="2" t="inlineStr">
        <is>
          <t>Less: Net Debt</t>
        </is>
      </c>
      <c r="B30" s="11">
        <f>('Balance Sheet'!B10+'Balance Sheet'!B27)-('Balance Sheet'!B3)</f>
        <v/>
      </c>
      <c r="C30" s="27" t="n"/>
      <c r="D30" s="27" t="n"/>
      <c r="E30" s="27" t="n"/>
      <c r="F30" s="27" t="n"/>
      <c r="G30" s="27" t="n"/>
      <c r="H30" s="27" t="n"/>
      <c r="I30" s="27" t="n"/>
    </row>
    <row r="31">
      <c r="A31" s="2" t="inlineStr">
        <is>
          <t>Equity Value</t>
        </is>
      </c>
      <c r="B31" s="9">
        <f>B29-B30</f>
        <v/>
      </c>
      <c r="C31" s="27" t="n"/>
      <c r="D31" s="27" t="n"/>
      <c r="E31" s="27" t="n"/>
      <c r="F31" s="27" t="n"/>
      <c r="G31" s="27" t="n"/>
      <c r="H31" s="27" t="n"/>
      <c r="I31" s="27" t="n"/>
    </row>
    <row r="32">
      <c r="A32" s="2" t="inlineStr">
        <is>
          <t>Shares Outstanding (millions)</t>
        </is>
      </c>
      <c r="B32" s="4" t="n">
        <v>7725</v>
      </c>
      <c r="C32" s="27" t="n"/>
      <c r="D32" s="27" t="n"/>
      <c r="E32" s="27" t="n"/>
      <c r="F32" s="27" t="n"/>
      <c r="G32" s="27" t="n"/>
      <c r="H32" s="27" t="n"/>
      <c r="I32" s="27" t="n"/>
    </row>
    <row r="33">
      <c r="A33" s="2" t="inlineStr">
        <is>
          <t>IMPLIED SHARE PRICE</t>
        </is>
      </c>
      <c r="B33" s="14">
        <f>B31/B32</f>
        <v/>
      </c>
      <c r="C33" s="27" t="n"/>
      <c r="D33" s="27" t="n"/>
      <c r="E33" s="27" t="n"/>
      <c r="F33" s="27" t="n"/>
      <c r="G33" s="27" t="n"/>
      <c r="H33" s="27" t="n"/>
      <c r="I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</row>
    <row r="36">
      <c r="A36" s="2" t="inlineStr">
        <is>
          <t>SENSITIVITY TABLE: SHARE PRICE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</row>
    <row r="37">
      <c r="A37" s="7" t="inlineStr">
        <is>
          <t>WACC \ Terminal Growth</t>
        </is>
      </c>
      <c r="B37" s="7" t="inlineStr">
        <is>
          <t>2.0%</t>
        </is>
      </c>
      <c r="C37" s="7" t="inlineStr">
        <is>
          <t>2.5%</t>
        </is>
      </c>
      <c r="D37" s="7" t="inlineStr">
        <is>
          <t>3.0%</t>
        </is>
      </c>
      <c r="E37" s="7" t="inlineStr">
        <is>
          <t>3.5%</t>
        </is>
      </c>
      <c r="F37" s="7" t="inlineStr">
        <is>
          <t>4.0%</t>
        </is>
      </c>
      <c r="G37" s="27" t="n"/>
      <c r="H37" s="27" t="n"/>
      <c r="I37" s="27" t="n"/>
    </row>
    <row r="38">
      <c r="A38" s="15" t="inlineStr">
        <is>
          <t>7.0%</t>
        </is>
      </c>
      <c r="B38" s="16">
        <f>(B15+(23*(B20*0.020)/(0.0700-0.0200)))-B30)/B32</f>
        <v/>
      </c>
      <c r="C38" s="16">
        <f>(B15+(23*(B20*0.025)/(0.0700-0.0250)))-B30)/B32</f>
        <v/>
      </c>
      <c r="D38" s="16">
        <f>(B15+(23*(B20*0.030)/(0.0700-0.0300)))-B30)/B32</f>
        <v/>
      </c>
      <c r="E38" s="16">
        <f>(B15+(23*(B20*0.035)/(0.0700-0.0350)))-B30)/B32</f>
        <v/>
      </c>
      <c r="F38" s="16">
        <f>(B15+(23*(B20*0.040)/(0.0700-0.0400)))-B30)/B32</f>
        <v/>
      </c>
      <c r="G38" s="27" t="n"/>
      <c r="H38" s="27" t="n"/>
      <c r="I38" s="27" t="n"/>
    </row>
    <row r="39">
      <c r="A39" s="15" t="inlineStr">
        <is>
          <t>7.5%</t>
        </is>
      </c>
      <c r="B39" s="16">
        <f>(B15+(23*(B20*0.020)/(0.0750-0.0200)))-B30)/B32</f>
        <v/>
      </c>
      <c r="C39" s="16">
        <f>(B15+(23*(B20*0.025)/(0.0750-0.0250)))-B30)/B32</f>
        <v/>
      </c>
      <c r="D39" s="16">
        <f>(B15+(23*(B20*0.030)/(0.0750-0.0300)))-B30)/B32</f>
        <v/>
      </c>
      <c r="E39" s="16">
        <f>(B15+(23*(B20*0.035)/(0.0750-0.0350)))-B30)/B32</f>
        <v/>
      </c>
      <c r="F39" s="16">
        <f>(B15+(23*(B20*0.040)/(0.0750-0.0400)))-B30)/B32</f>
        <v/>
      </c>
      <c r="G39" s="27" t="n"/>
      <c r="H39" s="27" t="n"/>
      <c r="I39" s="27" t="n"/>
    </row>
    <row r="40">
      <c r="A40" s="15" t="inlineStr">
        <is>
          <t>8.0%</t>
        </is>
      </c>
      <c r="B40" s="16">
        <f>(B15+(23*(B20*0.020)/(0.0800-0.0200)))-B30)/B32</f>
        <v/>
      </c>
      <c r="C40" s="16">
        <f>(B15+(23*(B20*0.025)/(0.0800-0.0250)))-B30)/B32</f>
        <v/>
      </c>
      <c r="D40" s="17">
        <f>(B15+(23*(B20*0.030)/(0.0800-0.0300)))-B30)/B32</f>
        <v/>
      </c>
      <c r="E40" s="16">
        <f>(B15+(23*(B20*0.035)/(0.0800-0.0350)))-B30)/B32</f>
        <v/>
      </c>
      <c r="F40" s="16">
        <f>(B15+(23*(B20*0.040)/(0.0800-0.0400)))-B30)/B32</f>
        <v/>
      </c>
      <c r="G40" s="27" t="n"/>
      <c r="H40" s="27" t="n"/>
      <c r="I40" s="27" t="n"/>
    </row>
    <row r="41">
      <c r="A41" s="15" t="inlineStr">
        <is>
          <t>8.5%</t>
        </is>
      </c>
      <c r="B41" s="16">
        <f>(B15+(23*(B20*0.020)/(0.0850-0.0200)))-B30)/B32</f>
        <v/>
      </c>
      <c r="C41" s="16">
        <f>(B15+(23*(B20*0.025)/(0.0850-0.0250)))-B30)/B32</f>
        <v/>
      </c>
      <c r="D41" s="16">
        <f>(B15+(23*(B20*0.030)/(0.0850-0.0300)))-B30)/B32</f>
        <v/>
      </c>
      <c r="E41" s="16">
        <f>(B15+(23*(B20*0.035)/(0.0850-0.0350)))-B30)/B32</f>
        <v/>
      </c>
      <c r="F41" s="16">
        <f>(B15+(23*(B20*0.040)/(0.0850-0.0400)))-B30)/B32</f>
        <v/>
      </c>
      <c r="G41" s="27" t="n"/>
      <c r="H41" s="27" t="n"/>
      <c r="I41" s="27" t="n"/>
    </row>
    <row r="42">
      <c r="A42" s="15" t="inlineStr">
        <is>
          <t>9.0%</t>
        </is>
      </c>
      <c r="B42" s="16">
        <f>(B15+(23*(B20*0.020)/(0.0900-0.0200)))-B30)/B32</f>
        <v/>
      </c>
      <c r="C42" s="16">
        <f>(B15+(23*(B20*0.025)/(0.0900-0.0250)))-B30)/B32</f>
        <v/>
      </c>
      <c r="D42" s="16">
        <f>(B15+(23*(B20*0.030)/(0.0900-0.0300)))-B30)/B32</f>
        <v/>
      </c>
      <c r="E42" s="16">
        <f>(B15+(23*(B20*0.035)/(0.0900-0.0350)))-B30)/B32</f>
        <v/>
      </c>
      <c r="F42" s="16">
        <f>(B15+(23*(B20*0.040)/(0.0900-0.0400)))-B30)/B32</f>
        <v/>
      </c>
      <c r="G42" s="27" t="n"/>
      <c r="H42" s="27" t="n"/>
      <c r="I42" s="27" t="n"/>
    </row>
    <row r="43">
      <c r="A43" s="15" t="inlineStr">
        <is>
          <t>9.5%</t>
        </is>
      </c>
      <c r="B43" s="16">
        <f>(B15+(23*(B20*0.020)/(0.0950-0.0200)))-B30)/B32</f>
        <v/>
      </c>
      <c r="C43" s="16">
        <f>(B15+(23*(B20*0.025)/(0.0950-0.0250)))-B30)/B32</f>
        <v/>
      </c>
      <c r="D43" s="16">
        <f>(B15+(23*(B20*0.030)/(0.0950-0.0300)))-B30)/B32</f>
        <v/>
      </c>
      <c r="E43" s="16">
        <f>(B15+(23*(B20*0.035)/(0.0950-0.0350)))-B30)/B32</f>
        <v/>
      </c>
      <c r="F43" s="16">
        <f>(B15+(23*(B20*0.040)/(0.0950-0.0400)))-B30)/B32</f>
        <v/>
      </c>
      <c r="G43" s="27" t="n"/>
      <c r="H43" s="27" t="n"/>
      <c r="I43" s="27" t="n"/>
    </row>
    <row r="44">
      <c r="A44" s="15" t="inlineStr">
        <is>
          <t>10.0%</t>
        </is>
      </c>
      <c r="B44" s="16">
        <f>(B15+(23*(B20*0.020)/(0.1000-0.0200)))-B30)/B32</f>
        <v/>
      </c>
      <c r="C44" s="16">
        <f>(B15+(23*(B20*0.025)/(0.1000-0.0250)))-B30)/B32</f>
        <v/>
      </c>
      <c r="D44" s="16">
        <f>(B15+(23*(B20*0.030)/(0.1000-0.0300)))-B30)/B32</f>
        <v/>
      </c>
      <c r="E44" s="16">
        <f>(B15+(23*(B20*0.035)/(0.1000-0.0350)))-B30)/B32</f>
        <v/>
      </c>
      <c r="F44" s="16">
        <f>(B15+(23*(B20*0.040)/(0.1000-0.0400)))-B30)/B32</f>
        <v/>
      </c>
      <c r="G44" s="27" t="n"/>
      <c r="H44" s="27" t="n"/>
      <c r="I44" s="27" t="n"/>
    </row>
    <row r="45">
      <c r="A45" s="15" t="inlineStr">
        <is>
          <t>10.5%</t>
        </is>
      </c>
      <c r="B45" s="16">
        <f>(B15+(23*(B20*0.020)/(0.1050-0.0200)))-B30)/B32</f>
        <v/>
      </c>
      <c r="C45" s="16">
        <f>(B15+(23*(B20*0.025)/(0.1050-0.0250)))-B30)/B32</f>
        <v/>
      </c>
      <c r="D45" s="16">
        <f>(B15+(23*(B20*0.030)/(0.1050-0.0300)))-B30)/B32</f>
        <v/>
      </c>
      <c r="E45" s="16">
        <f>(B15+(23*(B20*0.035)/(0.1050-0.0350)))-B30)/B32</f>
        <v/>
      </c>
      <c r="F45" s="16">
        <f>(B15+(23*(B20*0.040)/(0.1050-0.0400)))-B30)/B32</f>
        <v/>
      </c>
      <c r="G45" s="27" t="n"/>
      <c r="H45" s="27" t="n"/>
      <c r="I45" s="27" t="n"/>
    </row>
    <row r="46">
      <c r="A46" s="15" t="inlineStr">
        <is>
          <t>11.0%</t>
        </is>
      </c>
      <c r="B46" s="16">
        <f>(B15+(23*(B20*0.020)/(0.1100-0.0200)))-B30)/B32</f>
        <v/>
      </c>
      <c r="C46" s="16">
        <f>(B15+(23*(B20*0.025)/(0.1100-0.0250)))-B30)/B32</f>
        <v/>
      </c>
      <c r="D46" s="16">
        <f>(B15+(23*(B20*0.030)/(0.1100-0.0300)))-B30)/B32</f>
        <v/>
      </c>
      <c r="E46" s="16">
        <f>(B15+(23*(B20*0.035)/(0.1100-0.0350)))-B30)/B32</f>
        <v/>
      </c>
      <c r="F46" s="16">
        <f>(B15+(23*(B20*0.040)/(0.1100-0.0400)))-B30)/B32</f>
        <v/>
      </c>
      <c r="G46" s="27" t="n"/>
      <c r="H46" s="27" t="n"/>
      <c r="I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>
      <c r="A72" s="27" t="n"/>
      <c r="B72" s="27">
        <f>('Balance Sheet'!C10+'Balance Sheet'!C27)-('Balance Sheet'!C3)</f>
        <v/>
      </c>
      <c r="C72" s="27" t="n"/>
      <c r="D72" s="27" t="n"/>
      <c r="E72" s="27" t="n"/>
      <c r="F72" s="27" t="n"/>
      <c r="G72" s="27" t="n"/>
      <c r="H72" s="27" t="n"/>
      <c r="I72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COMPARABLE COMPANY ANALYSIS</t>
        </is>
      </c>
      <c r="B1" s="27" t="n"/>
      <c r="C1" s="27" t="n"/>
      <c r="D1" s="27" t="n"/>
      <c r="E1" s="27" t="n"/>
      <c r="F1" s="27" t="n"/>
      <c r="G1" s="27" t="n"/>
      <c r="H1" s="27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</row>
    <row r="3">
      <c r="A3" s="7" t="inlineStr">
        <is>
          <t>Company</t>
        </is>
      </c>
      <c r="B3" s="7" t="inlineStr">
        <is>
          <t>Market Cap ($B)</t>
        </is>
      </c>
      <c r="C3" s="7" t="inlineStr">
        <is>
          <t>EV ($B)</t>
        </is>
      </c>
      <c r="D3" s="7" t="inlineStr">
        <is>
          <t>Revenue ($B)</t>
        </is>
      </c>
      <c r="E3" s="7" t="inlineStr">
        <is>
          <t>EBITDA ($B)</t>
        </is>
      </c>
      <c r="F3" s="7" t="inlineStr">
        <is>
          <t>EV/Revenue</t>
        </is>
      </c>
      <c r="G3" s="7" t="inlineStr">
        <is>
          <t>EV/EBITDA</t>
        </is>
      </c>
      <c r="H3" s="7" t="inlineStr">
        <is>
          <t>P/E</t>
        </is>
      </c>
    </row>
    <row r="4">
      <c r="A4" s="2" t="inlineStr">
        <is>
          <t>Apple</t>
        </is>
      </c>
      <c r="B4" s="8" t="n">
        <v>3000</v>
      </c>
      <c r="C4" s="8" t="n">
        <v>2850</v>
      </c>
      <c r="D4" s="8" t="n">
        <v>394</v>
      </c>
      <c r="E4" s="8" t="n">
        <v>124</v>
      </c>
      <c r="F4" s="18">
        <f>C4/D4</f>
        <v/>
      </c>
      <c r="G4" s="18">
        <f>C4/E4</f>
        <v/>
      </c>
      <c r="H4" s="18">
        <f>B4/D4*0.30</f>
        <v/>
      </c>
    </row>
    <row r="5">
      <c r="A5" s="2" t="inlineStr">
        <is>
          <t>Google (Alphabet)</t>
        </is>
      </c>
      <c r="B5" s="8" t="n">
        <v>1800</v>
      </c>
      <c r="C5" s="8" t="n">
        <v>1750</v>
      </c>
      <c r="D5" s="8" t="n">
        <v>307</v>
      </c>
      <c r="E5" s="8" t="n">
        <v>100</v>
      </c>
      <c r="F5" s="18">
        <f>C5/D5</f>
        <v/>
      </c>
      <c r="G5" s="18">
        <f>C5/E5</f>
        <v/>
      </c>
      <c r="H5" s="18">
        <f>B5/D5*0.30</f>
        <v/>
      </c>
    </row>
    <row r="6">
      <c r="A6" s="2" t="inlineStr">
        <is>
          <t>Amazon</t>
        </is>
      </c>
      <c r="B6" s="8" t="n">
        <v>1950</v>
      </c>
      <c r="C6" s="8" t="n">
        <v>1800</v>
      </c>
      <c r="D6" s="8" t="n">
        <v>575</v>
      </c>
      <c r="E6" s="8" t="n">
        <v>95</v>
      </c>
      <c r="F6" s="18">
        <f>C6/D6</f>
        <v/>
      </c>
      <c r="G6" s="18">
        <f>C6/E6</f>
        <v/>
      </c>
      <c r="H6" s="18">
        <f>B6/D6*0.30</f>
        <v/>
      </c>
    </row>
    <row r="7">
      <c r="A7" s="2" t="inlineStr">
        <is>
          <t>Meta</t>
        </is>
      </c>
      <c r="B7" s="8" t="n">
        <v>1200</v>
      </c>
      <c r="C7" s="8" t="n">
        <v>1150</v>
      </c>
      <c r="D7" s="8" t="n">
        <v>135</v>
      </c>
      <c r="E7" s="8" t="n">
        <v>50</v>
      </c>
      <c r="F7" s="18">
        <f>C7/D7</f>
        <v/>
      </c>
      <c r="G7" s="18">
        <f>C7/E7</f>
        <v/>
      </c>
      <c r="H7" s="18">
        <f>B7/D7*0.30</f>
        <v/>
      </c>
    </row>
    <row r="8">
      <c r="A8" s="2" t="inlineStr">
        <is>
          <t>Salesforce</t>
        </is>
      </c>
      <c r="B8" s="8" t="n">
        <v>280</v>
      </c>
      <c r="C8" s="8" t="n">
        <v>260</v>
      </c>
      <c r="D8" s="8" t="n">
        <v>34</v>
      </c>
      <c r="E8" s="8" t="n">
        <v>12</v>
      </c>
      <c r="F8" s="18">
        <f>C8/D8</f>
        <v/>
      </c>
      <c r="G8" s="18">
        <f>C8/E8</f>
        <v/>
      </c>
      <c r="H8" s="18">
        <f>B8/D8*0.30</f>
        <v/>
      </c>
    </row>
    <row r="9">
      <c r="A9" s="2" t="inlineStr">
        <is>
          <t>Oracle</t>
        </is>
      </c>
      <c r="B9" s="8" t="n">
        <v>330</v>
      </c>
      <c r="C9" s="8" t="n">
        <v>310</v>
      </c>
      <c r="D9" s="8" t="n">
        <v>52</v>
      </c>
      <c r="E9" s="8" t="n">
        <v>19</v>
      </c>
      <c r="F9" s="18">
        <f>C9/D9</f>
        <v/>
      </c>
      <c r="G9" s="18">
        <f>C9/E9</f>
        <v/>
      </c>
      <c r="H9" s="18">
        <f>B9/D9*0.30</f>
        <v/>
      </c>
    </row>
    <row r="10">
      <c r="A10" s="2" t="inlineStr">
        <is>
          <t>SAP</t>
        </is>
      </c>
      <c r="B10" s="8" t="n">
        <v>160</v>
      </c>
      <c r="C10" s="8" t="n">
        <v>150</v>
      </c>
      <c r="D10" s="8" t="n">
        <v>32</v>
      </c>
      <c r="E10" s="8" t="n">
        <v>10</v>
      </c>
      <c r="F10" s="18">
        <f>C10/D10</f>
        <v/>
      </c>
      <c r="G10" s="18">
        <f>C10/E10</f>
        <v/>
      </c>
      <c r="H10" s="18">
        <f>B10/D10*0.30</f>
        <v/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>
      <c r="A12" s="2" t="inlineStr">
        <is>
          <t>MEDIAN</t>
        </is>
      </c>
      <c r="B12" s="27" t="n"/>
      <c r="C12" s="27" t="n"/>
      <c r="D12" s="27" t="n"/>
      <c r="E12" s="27" t="n"/>
      <c r="F12" s="19">
        <f>MEDIAN(F4:F10)</f>
        <v/>
      </c>
      <c r="G12" s="19">
        <f>MEDIAN(G4:G10)</f>
        <v/>
      </c>
      <c r="H12" s="19">
        <f>MEDIAN(H4:H10)</f>
        <v/>
      </c>
    </row>
    <row r="13">
      <c r="A13" s="2" t="inlineStr">
        <is>
          <t>MEAN</t>
        </is>
      </c>
      <c r="B13" s="27" t="n"/>
      <c r="C13" s="27" t="n"/>
      <c r="D13" s="27" t="n"/>
      <c r="E13" s="27" t="n"/>
      <c r="F13" s="19">
        <f>AVERAGE(F4:F10)</f>
        <v/>
      </c>
      <c r="G13" s="19">
        <f>AVERAGE(G4:G10)</f>
        <v/>
      </c>
      <c r="H13" s="19">
        <f>AVERAGE(H4:H10)</f>
        <v/>
      </c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>
      <c r="A15" s="2" t="inlineStr">
        <is>
          <t>MICROSOFT VALUATION</t>
        </is>
      </c>
      <c r="B15" s="27" t="n"/>
      <c r="C15" s="27" t="n"/>
      <c r="D15" s="27" t="n"/>
      <c r="E15" s="27" t="n"/>
      <c r="F15" s="27" t="n"/>
      <c r="G15" s="27" t="n"/>
      <c r="H15" s="27" t="n"/>
    </row>
    <row r="16">
      <c r="A16" s="2" t="inlineStr">
        <is>
          <t>2023E Revenue (actual)</t>
        </is>
      </c>
      <c r="B16" s="11">
        <f>'Income Statement'!D2</f>
        <v/>
      </c>
      <c r="C16" s="27" t="n"/>
      <c r="D16" s="27" t="n"/>
      <c r="E16" s="27" t="n"/>
      <c r="F16" s="27" t="n"/>
      <c r="G16" s="27" t="n"/>
      <c r="H16" s="27" t="n"/>
    </row>
    <row r="17">
      <c r="A17" s="2" t="inlineStr">
        <is>
          <t>2023E EBITDA</t>
        </is>
      </c>
      <c r="B17" s="11">
        <f>'Income Statement'!D30*(1+0.15)</f>
        <v/>
      </c>
      <c r="C17" s="27" t="n"/>
      <c r="D17" s="27" t="n"/>
      <c r="E17" s="27" t="n"/>
      <c r="F17" s="27" t="n"/>
      <c r="G17" s="27" t="n"/>
      <c r="H17" s="27" t="n"/>
    </row>
    <row r="18">
      <c r="A18" s="2" t="inlineStr">
        <is>
          <t>Median EV/Revenue Multiple</t>
        </is>
      </c>
      <c r="B18" s="19">
        <f>F12</f>
        <v/>
      </c>
      <c r="C18" s="27" t="n"/>
      <c r="D18" s="27" t="n"/>
      <c r="E18" s="27" t="n"/>
      <c r="F18" s="27" t="n"/>
      <c r="G18" s="27" t="n"/>
      <c r="H18" s="27" t="n"/>
    </row>
    <row r="19">
      <c r="A19" s="2" t="inlineStr">
        <is>
          <t>Implied EV (EV/Revenue)</t>
        </is>
      </c>
      <c r="B19" s="9">
        <f>B16*B18</f>
        <v/>
      </c>
      <c r="C19" s="27" t="n"/>
      <c r="D19" s="27" t="n"/>
      <c r="E19" s="27" t="n"/>
      <c r="F19" s="27" t="n"/>
      <c r="G19" s="27" t="n"/>
      <c r="H19" s="27" t="n"/>
    </row>
    <row r="20">
      <c r="A20" s="2" t="inlineStr">
        <is>
          <t>Median EV/EBITDA Multiple</t>
        </is>
      </c>
      <c r="B20" s="19">
        <f>G12</f>
        <v/>
      </c>
      <c r="C20" s="27" t="n"/>
      <c r="D20" s="27" t="n"/>
      <c r="E20" s="27" t="n"/>
      <c r="F20" s="27" t="n"/>
      <c r="G20" s="27" t="n"/>
      <c r="H20" s="27" t="n"/>
    </row>
    <row r="21">
      <c r="A21" s="2" t="inlineStr">
        <is>
          <t>Implied EV (EV/EBITDA)</t>
        </is>
      </c>
      <c r="B21" s="9">
        <f>B17*B20</f>
        <v/>
      </c>
      <c r="C21" s="27" t="n"/>
      <c r="D21" s="27" t="n"/>
      <c r="E21" s="27" t="n"/>
      <c r="F21" s="27" t="n"/>
      <c r="G21" s="27" t="n"/>
      <c r="H21" s="27" t="n"/>
    </row>
    <row r="22">
      <c r="A22" s="2" t="inlineStr">
        <is>
          <t>Average Implied EV</t>
        </is>
      </c>
      <c r="B22" s="9">
        <f>(B19+B21)/2</f>
        <v/>
      </c>
      <c r="C22" s="27" t="n"/>
      <c r="D22" s="27" t="n"/>
      <c r="E22" s="27" t="n"/>
      <c r="F22" s="27" t="n"/>
      <c r="G22" s="27" t="n"/>
      <c r="H22" s="27" t="n"/>
    </row>
    <row r="23">
      <c r="A23" s="2" t="inlineStr">
        <is>
          <t>Less: Net Debt</t>
        </is>
      </c>
      <c r="B23" s="11">
        <f>('Balance Sheet'!C10+'Balance Sheet'!C27)-('Balance Sheet'!C3)</f>
        <v/>
      </c>
      <c r="C23" s="27" t="n"/>
      <c r="D23" s="27" t="n"/>
      <c r="E23" s="27" t="n"/>
      <c r="F23" s="27" t="n"/>
      <c r="G23" s="27" t="n"/>
      <c r="H23" s="27" t="n"/>
    </row>
    <row r="24">
      <c r="A24" s="2" t="inlineStr">
        <is>
          <t>Implied Equity Value</t>
        </is>
      </c>
      <c r="B24" s="9">
        <f>B22-B23</f>
        <v/>
      </c>
      <c r="C24" s="27" t="n"/>
      <c r="D24" s="27" t="n"/>
      <c r="E24" s="27" t="n"/>
      <c r="F24" s="27" t="n"/>
      <c r="G24" s="27" t="n"/>
      <c r="H24" s="27" t="n"/>
    </row>
    <row r="25">
      <c r="A25" s="2" t="inlineStr">
        <is>
          <t>Shares Outstanding</t>
        </is>
      </c>
      <c r="B25" s="4" t="n">
        <v>7725</v>
      </c>
      <c r="C25" s="27" t="n"/>
      <c r="D25" s="27" t="n"/>
      <c r="E25" s="27" t="n"/>
      <c r="F25" s="27" t="n"/>
      <c r="G25" s="27" t="n"/>
      <c r="H25" s="27" t="n"/>
    </row>
    <row r="26">
      <c r="A26" s="2" t="inlineStr">
        <is>
          <t>IMPLIED SHARE PRICE</t>
        </is>
      </c>
      <c r="B26" s="14">
        <f>B24/B25</f>
        <v/>
      </c>
      <c r="C26" s="27" t="n"/>
      <c r="D26" s="27" t="n"/>
      <c r="E26" s="27" t="n"/>
      <c r="F26" s="27" t="n"/>
      <c r="G26" s="27" t="n"/>
      <c r="H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</row>
    <row r="52">
      <c r="A52" s="27" t="n"/>
      <c r="B52" s="27">
        <f>('Balance Sheet'!C10+'Balance Sheet'!C27)-('Balance Sheet'!C3)</f>
        <v/>
      </c>
      <c r="C52" s="27" t="n"/>
      <c r="D52" s="27" t="n"/>
      <c r="E52" s="27" t="n"/>
      <c r="F52" s="27" t="n"/>
      <c r="G52" s="27" t="n"/>
      <c r="H52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2" t="inlineStr">
        <is>
          <t>PRECEDENT TRANSACTION ANALYSIS</t>
        </is>
      </c>
      <c r="B1" s="27" t="n"/>
      <c r="C1" s="27" t="n"/>
      <c r="D1" s="27" t="n"/>
      <c r="E1" s="27" t="n"/>
    </row>
    <row r="2">
      <c r="A2" s="27" t="n"/>
      <c r="B2" s="27" t="n"/>
      <c r="C2" s="27" t="n"/>
      <c r="D2" s="27" t="n"/>
      <c r="E2" s="27" t="n"/>
    </row>
    <row r="3">
      <c r="A3" s="7" t="inlineStr">
        <is>
          <t>Transaction</t>
        </is>
      </c>
      <c r="B3" s="7" t="inlineStr">
        <is>
          <t>Deal Value ($B)</t>
        </is>
      </c>
      <c r="C3" s="7" t="inlineStr">
        <is>
          <t>EV/Revenue</t>
        </is>
      </c>
      <c r="D3" s="7" t="inlineStr">
        <is>
          <t>EV/EBITDA</t>
        </is>
      </c>
      <c r="E3" s="7" t="inlineStr">
        <is>
          <t>Year</t>
        </is>
      </c>
    </row>
    <row r="4">
      <c r="A4" s="2" t="inlineStr">
        <is>
          <t>Microsoft/Activision Blizzard</t>
        </is>
      </c>
      <c r="B4" s="8" t="n">
        <v>69</v>
      </c>
      <c r="C4" s="20" t="n">
        <v>10</v>
      </c>
      <c r="D4" s="20" t="n">
        <v>24</v>
      </c>
      <c r="E4" s="21" t="n">
        <v>2023</v>
      </c>
    </row>
    <row r="5">
      <c r="A5" s="2" t="inlineStr">
        <is>
          <t>Broadcom/VMware</t>
        </is>
      </c>
      <c r="B5" s="8" t="n">
        <v>61</v>
      </c>
      <c r="C5" s="20" t="n">
        <v>8.5</v>
      </c>
      <c r="D5" s="20" t="n">
        <v>25</v>
      </c>
      <c r="E5" s="21" t="n">
        <v>2023</v>
      </c>
    </row>
    <row r="6">
      <c r="A6" s="2" t="inlineStr">
        <is>
          <t>Adobe/Figma (Withdrawn)</t>
        </is>
      </c>
      <c r="B6" s="8" t="n">
        <v>20</v>
      </c>
      <c r="C6" s="20" t="n">
        <v>50</v>
      </c>
      <c r="D6" s="20" t="n">
        <v>35</v>
      </c>
      <c r="E6" s="21" t="n">
        <v>2022</v>
      </c>
    </row>
    <row r="7">
      <c r="A7" s="2" t="inlineStr">
        <is>
          <t>Salesforce/Slack</t>
        </is>
      </c>
      <c r="B7" s="8" t="n">
        <v>27.7</v>
      </c>
      <c r="C7" s="20" t="n">
        <v>26</v>
      </c>
      <c r="D7" s="20" t="n">
        <v>32</v>
      </c>
      <c r="E7" s="21" t="n">
        <v>2021</v>
      </c>
    </row>
    <row r="8">
      <c r="A8" s="2" t="inlineStr">
        <is>
          <t>Microsoft/Nuance</t>
        </is>
      </c>
      <c r="B8" s="8" t="n">
        <v>19.7</v>
      </c>
      <c r="C8" s="20" t="n">
        <v>14</v>
      </c>
      <c r="D8" s="20" t="n">
        <v>20</v>
      </c>
      <c r="E8" s="21" t="n">
        <v>2021</v>
      </c>
    </row>
    <row r="9">
      <c r="A9" s="27" t="n"/>
      <c r="B9" s="27" t="n"/>
      <c r="C9" s="27" t="n"/>
      <c r="D9" s="27" t="n"/>
      <c r="E9" s="27" t="n"/>
    </row>
    <row r="10">
      <c r="A10" s="2" t="inlineStr">
        <is>
          <t>MEDIAN</t>
        </is>
      </c>
      <c r="B10" s="27" t="n"/>
      <c r="C10" s="19">
        <f>MEDIAN(C4:C8)</f>
        <v/>
      </c>
      <c r="D10" s="19">
        <f>MEDIAN(D4:D8)</f>
        <v/>
      </c>
      <c r="E10" s="27" t="n"/>
    </row>
    <row r="11">
      <c r="A11" s="2" t="inlineStr">
        <is>
          <t>MEAN</t>
        </is>
      </c>
      <c r="B11" s="27" t="n"/>
      <c r="C11" s="19">
        <f>AVERAGE(C4:C8)</f>
        <v/>
      </c>
      <c r="D11" s="19">
        <f>AVERAGE(D4:D8)</f>
        <v/>
      </c>
      <c r="E11" s="27" t="n"/>
    </row>
    <row r="12">
      <c r="A12" s="27" t="n"/>
      <c r="B12" s="27" t="n"/>
      <c r="C12" s="27" t="n"/>
      <c r="D12" s="27" t="n"/>
      <c r="E12" s="27" t="n"/>
    </row>
    <row r="13">
      <c r="A13" s="2" t="inlineStr">
        <is>
          <t>MICROSOFT VALUATION USING TRANSACTION MULTIPLES</t>
        </is>
      </c>
      <c r="B13" s="27" t="n"/>
      <c r="C13" s="27" t="n"/>
      <c r="D13" s="27" t="n"/>
      <c r="E13" s="27" t="n"/>
    </row>
    <row r="14">
      <c r="A14" s="2" t="inlineStr">
        <is>
          <t>2023E Revenue</t>
        </is>
      </c>
      <c r="B14" s="11">
        <f>'Income Statement'!D2</f>
        <v/>
      </c>
      <c r="C14" s="27" t="n"/>
      <c r="D14" s="27" t="n"/>
      <c r="E14" s="27" t="n"/>
    </row>
    <row r="15">
      <c r="A15" s="2" t="inlineStr">
        <is>
          <t>2023E EBITDA (est.)</t>
        </is>
      </c>
      <c r="B15" s="11">
        <f>'Income Statement'!D30*1.15</f>
        <v/>
      </c>
      <c r="C15" s="27" t="n"/>
      <c r="D15" s="27" t="n"/>
      <c r="E15" s="27" t="n"/>
    </row>
    <row r="16">
      <c r="A16" s="2" t="inlineStr">
        <is>
          <t>Median EV/Revenue</t>
        </is>
      </c>
      <c r="B16" s="19">
        <f>C10</f>
        <v/>
      </c>
      <c r="C16" s="27" t="n"/>
      <c r="D16" s="27" t="n"/>
      <c r="E16" s="27" t="n"/>
    </row>
    <row r="17">
      <c r="A17" s="2" t="inlineStr">
        <is>
          <t>Implied EV (EV/Revenue)</t>
        </is>
      </c>
      <c r="B17" s="9">
        <f>B14*B16</f>
        <v/>
      </c>
      <c r="C17" s="27" t="n"/>
      <c r="D17" s="27" t="n"/>
      <c r="E17" s="27" t="n"/>
    </row>
    <row r="18">
      <c r="A18" s="2" t="inlineStr">
        <is>
          <t>Median EV/EBITDA</t>
        </is>
      </c>
      <c r="B18" s="19">
        <f>D10</f>
        <v/>
      </c>
      <c r="C18" s="27" t="n"/>
      <c r="D18" s="27" t="n"/>
      <c r="E18" s="27" t="n"/>
    </row>
    <row r="19">
      <c r="A19" s="2" t="inlineStr">
        <is>
          <t>Implied EV (EV/EBITDA)</t>
        </is>
      </c>
      <c r="B19" s="9">
        <f>B15*B18</f>
        <v/>
      </c>
      <c r="C19" s="27" t="n"/>
      <c r="D19" s="27" t="n"/>
      <c r="E19" s="27" t="n"/>
    </row>
    <row r="20">
      <c r="A20" s="2" t="inlineStr">
        <is>
          <t>Average Implied EV</t>
        </is>
      </c>
      <c r="B20" s="9">
        <f>(B17+B19)/2</f>
        <v/>
      </c>
      <c r="C20" s="27" t="n"/>
      <c r="D20" s="27" t="n"/>
      <c r="E20" s="27" t="n"/>
    </row>
    <row r="21">
      <c r="A21" s="2" t="inlineStr">
        <is>
          <t>Less: Net Debt</t>
        </is>
      </c>
      <c r="B21" s="11">
        <f>('Balance Sheet'!C10+'Balance Sheet'!C27)-('Balance Sheet'!C3)</f>
        <v/>
      </c>
      <c r="C21" s="27" t="n"/>
      <c r="D21" s="27" t="n"/>
      <c r="E21" s="27" t="n"/>
    </row>
    <row r="22">
      <c r="A22" s="2" t="inlineStr">
        <is>
          <t>Implied Equity Value</t>
        </is>
      </c>
      <c r="B22" s="9">
        <f>B20-B21</f>
        <v/>
      </c>
      <c r="C22" s="27" t="n"/>
      <c r="D22" s="27" t="n"/>
      <c r="E22" s="27" t="n"/>
    </row>
    <row r="23">
      <c r="A23" s="2" t="inlineStr">
        <is>
          <t>Shares Outstanding</t>
        </is>
      </c>
      <c r="B23" s="4" t="n">
        <v>7725</v>
      </c>
      <c r="C23" s="27" t="n"/>
      <c r="D23" s="27" t="n"/>
      <c r="E23" s="27" t="n"/>
    </row>
    <row r="24">
      <c r="A24" s="2" t="inlineStr">
        <is>
          <t>IMPLIED SHARE PRICE</t>
        </is>
      </c>
      <c r="B24" s="14">
        <f>B22/B23</f>
        <v/>
      </c>
      <c r="C24" s="27" t="n"/>
      <c r="D24" s="27" t="n"/>
      <c r="E24" s="27" t="n"/>
    </row>
    <row r="25">
      <c r="A25" s="27" t="n"/>
      <c r="B25" s="27" t="n"/>
      <c r="C25" s="27" t="n"/>
      <c r="D25" s="27" t="n"/>
      <c r="E25" s="27" t="n"/>
    </row>
    <row r="26">
      <c r="A26" s="27" t="n"/>
      <c r="B26" s="27" t="n"/>
      <c r="C26" s="27" t="n"/>
      <c r="D26" s="27" t="n"/>
      <c r="E26" s="27" t="n"/>
    </row>
    <row r="27">
      <c r="A27" s="27" t="n"/>
      <c r="B27" s="27" t="n"/>
      <c r="C27" s="27" t="n"/>
      <c r="D27" s="27" t="n"/>
      <c r="E27" s="27" t="n"/>
    </row>
    <row r="28">
      <c r="A28" s="27" t="n"/>
      <c r="B28" s="27">
        <f>('Balance Sheet'!C10+'Balance Sheet'!C27)-('Balance Sheet'!C3)</f>
        <v/>
      </c>
      <c r="C28" s="27" t="n"/>
      <c r="D28" s="27" t="n"/>
      <c r="E28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VALUATION SUMMARY</t>
        </is>
      </c>
      <c r="B1" s="27" t="n"/>
      <c r="C1" s="27" t="n"/>
      <c r="D1" s="27" t="n"/>
    </row>
    <row r="2">
      <c r="A2" s="27" t="n"/>
      <c r="B2" s="27" t="n"/>
      <c r="C2" s="27" t="n"/>
      <c r="D2" s="27" t="n"/>
    </row>
    <row r="3">
      <c r="A3" s="7" t="inlineStr">
        <is>
          <t>Valuation Method</t>
        </is>
      </c>
      <c r="B3" s="7" t="inlineStr">
        <is>
          <t>Low</t>
        </is>
      </c>
      <c r="C3" s="7" t="inlineStr">
        <is>
          <t>Mid</t>
        </is>
      </c>
      <c r="D3" s="7" t="inlineStr">
        <is>
          <t>High</t>
        </is>
      </c>
    </row>
    <row r="4">
      <c r="A4" s="2" t="inlineStr">
        <is>
          <t>DCF Valuation</t>
        </is>
      </c>
      <c r="B4" s="22">
        <f>'DCF Valuation'!B39</f>
        <v/>
      </c>
      <c r="C4" s="22">
        <f>'DCF Valuation'!B41</f>
        <v/>
      </c>
      <c r="D4" s="22">
        <f>'DCF Valuation'!B48</f>
        <v/>
      </c>
    </row>
    <row r="5">
      <c r="A5" s="2" t="inlineStr">
        <is>
          <t>Comparable Companies</t>
        </is>
      </c>
      <c r="B5" s="22">
        <f>'Comparable Companies'!B47*0.90</f>
        <v/>
      </c>
      <c r="C5" s="23">
        <f>'Comparable Companies'!B47</f>
        <v/>
      </c>
      <c r="D5" s="22">
        <f>'Comparable Companies'!B47*1.10</f>
        <v/>
      </c>
    </row>
    <row r="6">
      <c r="A6" s="2" t="inlineStr">
        <is>
          <t>Transaction Multiples</t>
        </is>
      </c>
      <c r="B6" s="22">
        <f>'Transaction Multiples'!B35*0.90</f>
        <v/>
      </c>
      <c r="C6" s="23">
        <f>'Transaction Multiples'!B35</f>
        <v/>
      </c>
      <c r="D6" s="22">
        <f>'Transaction Multiples'!B35*1.10</f>
        <v/>
      </c>
    </row>
    <row r="7">
      <c r="A7" s="27" t="n"/>
      <c r="B7" s="27" t="n"/>
      <c r="C7" s="27" t="n"/>
      <c r="D7" s="27" t="n"/>
    </row>
    <row r="8">
      <c r="A8" s="2" t="inlineStr">
        <is>
          <t>Current Trading Price (Reference)</t>
        </is>
      </c>
      <c r="B8" s="24" t="n">
        <v>380</v>
      </c>
      <c r="C8" s="27" t="n"/>
      <c r="D8" s="27" t="n"/>
    </row>
    <row r="9">
      <c r="A9" s="27" t="n"/>
      <c r="B9" s="27" t="n"/>
      <c r="C9" s="27" t="n"/>
      <c r="D9" s="27" t="n"/>
    </row>
    <row r="10">
      <c r="A10" s="25" t="inlineStr">
        <is>
          <t>VALUATION RANGE SUMMARY</t>
        </is>
      </c>
      <c r="B10" s="27" t="n"/>
      <c r="C10" s="27" t="n"/>
      <c r="D10" s="27" t="n"/>
    </row>
    <row r="11">
      <c r="A11" s="2" t="inlineStr">
        <is>
          <t>Minimum Value</t>
        </is>
      </c>
      <c r="B11" s="26">
        <f>MIN(B4:B6)</f>
        <v/>
      </c>
      <c r="C11" s="27" t="n"/>
      <c r="D11" s="27" t="n"/>
    </row>
    <row r="12">
      <c r="A12" s="2" t="inlineStr">
        <is>
          <t>Maximum Value</t>
        </is>
      </c>
      <c r="B12" s="26">
        <f>MAX(D4:D6)</f>
        <v/>
      </c>
      <c r="C12" s="27" t="n"/>
      <c r="D12" s="27" t="n"/>
    </row>
    <row r="13">
      <c r="A13" s="2" t="inlineStr">
        <is>
          <t>Average Value</t>
        </is>
      </c>
      <c r="B13" s="26">
        <f>AVERAGE(B4:D6)</f>
        <v/>
      </c>
      <c r="C13" s="27" t="n"/>
      <c r="D13" s="27" t="n"/>
    </row>
    <row r="14">
      <c r="A14" s="27" t="n"/>
      <c r="B14" s="27" t="n"/>
      <c r="C14" s="27" t="n"/>
      <c r="D14" s="27" t="n"/>
    </row>
    <row r="15">
      <c r="A15" s="27" t="n"/>
      <c r="B15" s="27" t="n"/>
      <c r="C15" s="27" t="n"/>
      <c r="D15" s="27" t="n"/>
    </row>
    <row r="16">
      <c r="A16" s="12" t="inlineStr">
        <is>
          <t>FOOTBALL FIELD CHART DATA</t>
        </is>
      </c>
      <c r="B16" s="27" t="n"/>
      <c r="C16" s="27" t="n"/>
      <c r="D16" s="27" t="n"/>
    </row>
    <row r="17">
      <c r="A17" s="7" t="inlineStr">
        <is>
          <t>Valuation Method</t>
        </is>
      </c>
      <c r="B17" s="7" t="inlineStr">
        <is>
          <t>Low</t>
        </is>
      </c>
      <c r="C17" s="7" t="inlineStr">
        <is>
          <t>High</t>
        </is>
      </c>
      <c r="D17" s="27" t="n"/>
    </row>
    <row r="18">
      <c r="A18" s="2" t="inlineStr">
        <is>
          <t>DCF</t>
        </is>
      </c>
      <c r="B18" s="22">
        <f>B4</f>
        <v/>
      </c>
      <c r="C18" s="22">
        <f>D4</f>
        <v/>
      </c>
      <c r="D18" s="27" t="n"/>
    </row>
    <row r="19">
      <c r="A19" s="2" t="inlineStr">
        <is>
          <t>Comparable Companies</t>
        </is>
      </c>
      <c r="B19" s="22">
        <f>B5</f>
        <v/>
      </c>
      <c r="C19" s="22">
        <f>D5</f>
        <v/>
      </c>
      <c r="D19" s="27" t="n"/>
    </row>
    <row r="20">
      <c r="A20" s="2" t="inlineStr">
        <is>
          <t>Transaction Multiples</t>
        </is>
      </c>
      <c r="B20" s="22">
        <f>B6</f>
        <v/>
      </c>
      <c r="C20" s="22">
        <f>D6</f>
        <v/>
      </c>
      <c r="D20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2026-03-29T10:51:24Z</dcterms:created>
  <dcterms:modified xmlns:dcterms="http://purl.org/dc/terms/" xmlns:xsi="http://www.w3.org/2001/XMLSchema-instance" xsi:type="dcterms:W3CDTF">2026-03-29T10:53:29Z</dcterms:modified>
</cp:coreProperties>
</file>