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Summary" sheetId="1" state="visible" r:id="rId1"/>
    <sheet xmlns:r="http://schemas.openxmlformats.org/officeDocument/2006/relationships" name="Historical Financial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Debt Schedule" sheetId="4" state="visible" r:id="rId4"/>
    <sheet xmlns:r="http://schemas.openxmlformats.org/officeDocument/2006/relationships" name="Returns Analysis" sheetId="5" state="visible" r:id="rId5"/>
    <sheet xmlns:r="http://schemas.openxmlformats.org/officeDocument/2006/relationships" name="Sensitivit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;($#,##0);-"/>
    <numFmt numFmtId="165" formatCode="$#,##0.00"/>
    <numFmt numFmtId="166" formatCode="#,##0.0"/>
    <numFmt numFmtId="167" formatCode="0.0x"/>
    <numFmt numFmtId="168" formatCode="0.0%;-0.0%;-"/>
    <numFmt numFmtId="169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00"/>
      <sz val="10"/>
    </font>
    <font>
      <name val="Arial"/>
      <color rgb="000070C0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A5A5A5"/>
        <bgColor rgb="00A5A5A5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7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8" fontId="3" fillId="0" borderId="1" applyAlignment="1" pivotButton="0" quotePrefix="0" xfId="0">
      <alignment horizontal="right" vertical="center"/>
    </xf>
    <xf numFmtId="169" fontId="4" fillId="0" borderId="1" applyAlignment="1" pivotButton="0" quotePrefix="0" xfId="0">
      <alignment horizontal="right" vertical="center"/>
    </xf>
    <xf numFmtId="168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DELL TECHNOLOGIES / EMC CORPORATION LBO</t>
        </is>
      </c>
      <c r="B1" s="2" t="n"/>
      <c r="C1" s="3" t="n"/>
    </row>
    <row r="2">
      <c r="A2" s="1" t="inlineStr">
        <is>
          <t>Transaction Overview</t>
        </is>
      </c>
      <c r="B2" s="2" t="n"/>
      <c r="C2" s="3" t="n"/>
    </row>
    <row r="3">
      <c r="A3" s="4" t="inlineStr">
        <is>
          <t>Acquirer:</t>
        </is>
      </c>
      <c r="B3" s="5" t="inlineStr">
        <is>
          <t>Dell Inc.</t>
        </is>
      </c>
    </row>
    <row r="4">
      <c r="A4" s="4" t="inlineStr">
        <is>
          <t>Target:</t>
        </is>
      </c>
      <c r="B4" s="5" t="inlineStr">
        <is>
          <t>EMC Corporation</t>
        </is>
      </c>
    </row>
    <row r="5">
      <c r="A5" s="4" t="inlineStr">
        <is>
          <t>Announcement Date:</t>
        </is>
      </c>
      <c r="B5" s="5" t="inlineStr">
        <is>
          <t>October 12, 2015</t>
        </is>
      </c>
    </row>
    <row r="6">
      <c r="A6" s="4" t="inlineStr">
        <is>
          <t>Close Date:</t>
        </is>
      </c>
      <c r="B6" s="5" t="inlineStr">
        <is>
          <t>September 7, 2016</t>
        </is>
      </c>
    </row>
    <row r="7">
      <c r="A7" s="4" t="inlineStr">
        <is>
          <t>Deal Type:</t>
        </is>
      </c>
      <c r="B7" s="5" t="inlineStr">
        <is>
          <t>Leveraged Buyout</t>
        </is>
      </c>
    </row>
    <row r="9">
      <c r="A9" s="1" t="inlineStr">
        <is>
          <t>Purchase Price</t>
        </is>
      </c>
      <c r="B9" s="2" t="n"/>
      <c r="C9" s="3" t="n"/>
    </row>
    <row r="10">
      <c r="A10" s="4" t="inlineStr">
        <is>
          <t>Price per Share (Cash):</t>
        </is>
      </c>
      <c r="B10" s="6" t="n">
        <v>33.15</v>
      </c>
    </row>
    <row r="11">
      <c r="A11" s="4" t="inlineStr">
        <is>
          <t>Shares Outstanding (mm):</t>
        </is>
      </c>
      <c r="B11" s="7" t="n">
        <v>651.5</v>
      </c>
    </row>
    <row r="12">
      <c r="A12" s="4" t="inlineStr">
        <is>
          <t>Equity Value ($ mm):</t>
        </is>
      </c>
      <c r="B12" s="5">
        <f>B7*B8</f>
        <v/>
      </c>
    </row>
    <row r="13">
      <c r="A13" s="4" t="inlineStr">
        <is>
          <t>Less: Net Debt ($ mm):</t>
        </is>
      </c>
      <c r="B13" s="8" t="n">
        <v>4170</v>
      </c>
    </row>
    <row r="14">
      <c r="A14" s="4" t="inlineStr">
        <is>
          <t>Enterprise Value ($ mm):</t>
        </is>
      </c>
      <c r="B14" s="9">
        <f>B9-B10</f>
        <v/>
      </c>
    </row>
    <row r="16">
      <c r="A16" s="1" t="inlineStr">
        <is>
          <t>Entry Valuation</t>
        </is>
      </c>
      <c r="B16" s="2" t="n"/>
      <c r="C16" s="3" t="n"/>
    </row>
    <row r="17">
      <c r="A17" s="4" t="inlineStr">
        <is>
          <t>FY2015 Revenue ($ mm):</t>
        </is>
      </c>
      <c r="B17" s="8" t="n">
        <v>24800</v>
      </c>
    </row>
    <row r="18">
      <c r="A18" s="4" t="inlineStr">
        <is>
          <t>FY2015 EBITDA ($ mm):</t>
        </is>
      </c>
      <c r="B18" s="8" t="n">
        <v>4700</v>
      </c>
    </row>
    <row r="19">
      <c r="A19" s="4" t="inlineStr">
        <is>
          <t>Entry EV/EBITDA Multiple:</t>
        </is>
      </c>
      <c r="B19" s="10">
        <f>B11/B13</f>
        <v/>
      </c>
    </row>
    <row r="20">
      <c r="A20" s="4" t="inlineStr">
        <is>
          <t>Entry EV/Revenue Multiple:</t>
        </is>
      </c>
      <c r="B20" s="10">
        <f>B11/B12</f>
        <v/>
      </c>
    </row>
    <row r="22">
      <c r="A22" s="1" t="inlineStr">
        <is>
          <t>SOURCES &amp; USES OF FUNDS</t>
        </is>
      </c>
      <c r="B22" s="2" t="n"/>
      <c r="C22" s="3" t="n"/>
    </row>
    <row r="23">
      <c r="A23" s="11" t="inlineStr">
        <is>
          <t>SOURCES</t>
        </is>
      </c>
      <c r="B23" s="12" t="inlineStr">
        <is>
          <t>$ mm</t>
        </is>
      </c>
      <c r="C23" s="12" t="inlineStr">
        <is>
          <t>%</t>
        </is>
      </c>
    </row>
    <row r="24">
      <c r="A24" s="4" t="inlineStr">
        <is>
          <t>Senior Secured Debt (Term Loan):</t>
        </is>
      </c>
      <c r="B24" s="5" t="n">
        <v>9750</v>
      </c>
    </row>
    <row r="25">
      <c r="A25" s="4" t="inlineStr">
        <is>
          <t>Senior Unsecured Notes:</t>
        </is>
      </c>
      <c r="B25" s="5" t="n">
        <v>5500</v>
      </c>
    </row>
    <row r="26">
      <c r="A26" s="4" t="inlineStr">
        <is>
          <t>Mezzanine / Subordinated Debt:</t>
        </is>
      </c>
      <c r="B26" s="5" t="n">
        <v>1750</v>
      </c>
    </row>
    <row r="27">
      <c r="A27" s="4" t="inlineStr">
        <is>
          <t>Sponsor Equity (Dell + Partners):</t>
        </is>
      </c>
      <c r="B27" s="5" t="n">
        <v>11100</v>
      </c>
    </row>
    <row r="28">
      <c r="A28" s="4" t="inlineStr">
        <is>
          <t>Seller Financing:</t>
        </is>
      </c>
      <c r="B28" s="5" t="n">
        <v>1850</v>
      </c>
    </row>
    <row r="29">
      <c r="A29" s="4" t="inlineStr">
        <is>
          <t>Total Sources:</t>
        </is>
      </c>
      <c r="B29" s="9">
        <f>SUM(B24:B28)</f>
        <v/>
      </c>
      <c r="C29" s="9">
        <f>B29/B29</f>
        <v/>
      </c>
    </row>
    <row r="31">
      <c r="A31" s="11" t="inlineStr">
        <is>
          <t>USES</t>
        </is>
      </c>
      <c r="B31" s="12" t="inlineStr">
        <is>
          <t>$ mm</t>
        </is>
      </c>
      <c r="C31" s="12" t="inlineStr">
        <is>
          <t>%</t>
        </is>
      </c>
    </row>
    <row r="32">
      <c r="A32" s="4" t="inlineStr">
        <is>
          <t>Equity Purchase Price:</t>
        </is>
      </c>
      <c r="B32" s="5" t="n">
        <v>21600</v>
      </c>
    </row>
    <row r="33">
      <c r="A33" s="4" t="inlineStr">
        <is>
          <t>Less: Debt Assumed:</t>
        </is>
      </c>
      <c r="B33" s="5" t="n">
        <v>-4170</v>
      </c>
    </row>
    <row r="34">
      <c r="A34" s="4" t="inlineStr">
        <is>
          <t>Transaction Fees &amp; Expenses:</t>
        </is>
      </c>
      <c r="B34" s="5" t="n">
        <v>350</v>
      </c>
    </row>
    <row r="35">
      <c r="A35" s="4" t="inlineStr">
        <is>
          <t>Working Capital &amp; Other:</t>
        </is>
      </c>
      <c r="B35" s="5" t="n">
        <v>820</v>
      </c>
    </row>
    <row r="36">
      <c r="A36" s="4" t="inlineStr">
        <is>
          <t>Total Uses:</t>
        </is>
      </c>
      <c r="B36" s="9">
        <f>SUM(B32:B35)</f>
        <v/>
      </c>
      <c r="C36" s="9">
        <f>B36/B36</f>
        <v/>
      </c>
    </row>
  </sheetData>
  <mergeCells count="5">
    <mergeCell ref="A1:C1"/>
    <mergeCell ref="A16:C16"/>
    <mergeCell ref="A22:C22"/>
    <mergeCell ref="A9:C9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EMC CORPORATION - HISTORICAL FINANCIALS</t>
        </is>
      </c>
      <c r="B1" s="2" t="n"/>
      <c r="C1" s="2" t="n"/>
      <c r="D1" s="2" t="n"/>
      <c r="E1" s="2" t="n"/>
      <c r="F1" s="3" t="n"/>
    </row>
    <row r="2">
      <c r="A2" s="1" t="inlineStr">
        <is>
          <t>Fiscal Year Ended December 31 ($ mm)</t>
        </is>
      </c>
      <c r="B2" s="2" t="n"/>
      <c r="C2" s="2" t="n"/>
      <c r="D2" s="2" t="n"/>
      <c r="E2" s="2" t="n"/>
      <c r="F2" s="3" t="n"/>
    </row>
    <row r="3">
      <c r="A3" s="1" t="inlineStr">
        <is>
          <t>Line Item</t>
        </is>
      </c>
      <c r="B3" s="1" t="inlineStr">
        <is>
          <t>2012</t>
        </is>
      </c>
      <c r="C3" s="1" t="inlineStr">
        <is>
          <t>2013</t>
        </is>
      </c>
      <c r="D3" s="1" t="inlineStr">
        <is>
          <t>2014</t>
        </is>
      </c>
      <c r="E3" s="1" t="inlineStr">
        <is>
          <t>2015</t>
        </is>
      </c>
      <c r="F3" s="1" t="inlineStr">
        <is>
          <t>Avg Growth</t>
        </is>
      </c>
    </row>
    <row r="4">
      <c r="A4" s="13" t="inlineStr">
        <is>
          <t>INCOME STATEMENT</t>
        </is>
      </c>
    </row>
    <row r="5">
      <c r="A5" s="4" t="inlineStr">
        <is>
          <t>Revenue</t>
        </is>
      </c>
      <c r="B5" s="5" t="n">
        <v>21700</v>
      </c>
      <c r="C5" s="5" t="n">
        <v>23200</v>
      </c>
      <c r="D5" s="5" t="n">
        <v>24400</v>
      </c>
      <c r="E5" s="5" t="n">
        <v>24800</v>
      </c>
      <c r="F5" s="14">
        <f>(E4/B4)^(1/3)-1</f>
        <v/>
      </c>
    </row>
    <row r="6">
      <c r="A6" s="4" t="inlineStr">
        <is>
          <t>Cost of Revenue</t>
        </is>
      </c>
      <c r="B6" s="5" t="n">
        <v>12500</v>
      </c>
      <c r="C6" s="5" t="n">
        <v>13300</v>
      </c>
      <c r="D6" s="5" t="n">
        <v>14000</v>
      </c>
      <c r="E6" s="5" t="n">
        <v>14300</v>
      </c>
      <c r="F6" s="5" t="n">
        <v>57.7</v>
      </c>
    </row>
    <row r="7">
      <c r="A7" s="4" t="inlineStr">
        <is>
          <t>Gross Profit</t>
        </is>
      </c>
      <c r="B7" s="5">
        <f>B4-B6</f>
        <v/>
      </c>
      <c r="C7" s="5">
        <f>C4-C6</f>
        <v/>
      </c>
      <c r="D7" s="5">
        <f>D4-D6</f>
        <v/>
      </c>
      <c r="E7" s="5">
        <f>E4-E6</f>
        <v/>
      </c>
      <c r="F7" s="14">
        <f>AVERAGE(B7/B4,C7/C4,D7/D4,E7/E4)</f>
        <v/>
      </c>
    </row>
    <row r="8">
      <c r="A8" s="4" t="inlineStr">
        <is>
          <t>SG&amp;A Expense</t>
        </is>
      </c>
      <c r="B8" s="5" t="n">
        <v>7500</v>
      </c>
      <c r="C8" s="5" t="n">
        <v>7800</v>
      </c>
      <c r="D8" s="5" t="n">
        <v>8100</v>
      </c>
      <c r="E8" s="5" t="n">
        <v>8200</v>
      </c>
      <c r="F8" s="14">
        <f>AVERAGE(B8/B4,C8/C4,D8/D4,E8/E4)</f>
        <v/>
      </c>
    </row>
    <row r="9">
      <c r="A9" s="4" t="inlineStr">
        <is>
          <t>EBITDA</t>
        </is>
      </c>
      <c r="B9" s="5">
        <f>B7-B8</f>
        <v/>
      </c>
      <c r="C9" s="5">
        <f>C7-C8</f>
        <v/>
      </c>
      <c r="D9" s="5">
        <f>D7-D8</f>
        <v/>
      </c>
      <c r="E9" s="5">
        <f>E7-E8</f>
        <v/>
      </c>
      <c r="F9" s="14">
        <f>AVERAGE(B9/B4,C9/C4,D9/D4,E9/E4)</f>
        <v/>
      </c>
    </row>
    <row r="10">
      <c r="A10" s="4" t="inlineStr">
        <is>
          <t>Depreciation &amp; Amortization</t>
        </is>
      </c>
      <c r="B10" s="5" t="n">
        <v>1200</v>
      </c>
      <c r="C10" s="5" t="n">
        <v>1250</v>
      </c>
      <c r="D10" s="5" t="n">
        <v>1300</v>
      </c>
      <c r="E10" s="5" t="n">
        <v>1350</v>
      </c>
      <c r="F10" s="14">
        <f>AVERAGE(B10/B4,C10/C4,D10/D4,E10/E4)</f>
        <v/>
      </c>
    </row>
    <row r="11">
      <c r="A11" s="4" t="inlineStr">
        <is>
          <t>EBIT</t>
        </is>
      </c>
      <c r="B11" s="5">
        <f>B9-B10</f>
        <v/>
      </c>
      <c r="C11" s="5">
        <f>C9-C10</f>
        <v/>
      </c>
      <c r="D11" s="5">
        <f>D9-D10</f>
        <v/>
      </c>
      <c r="E11" s="5">
        <f>E9-E10</f>
        <v/>
      </c>
      <c r="F11" s="14">
        <f>AVERAGE(B11/B4,C11/C4,D11/D4,E11/E4)</f>
        <v/>
      </c>
    </row>
    <row r="13">
      <c r="A13" s="13" t="inlineStr">
        <is>
          <t>BALANCE SHEET SUMMARY</t>
        </is>
      </c>
    </row>
    <row r="14">
      <c r="A14" s="4" t="inlineStr">
        <is>
          <t>Cash &amp; Equivalents</t>
        </is>
      </c>
      <c r="B14" s="5" t="n">
        <v>3200</v>
      </c>
      <c r="C14" s="5" t="n">
        <v>3500</v>
      </c>
      <c r="D14" s="5" t="n">
        <v>3800</v>
      </c>
      <c r="E14" s="5" t="n">
        <v>4200</v>
      </c>
    </row>
    <row r="15">
      <c r="A15" s="4" t="inlineStr">
        <is>
          <t>Accounts Receivable</t>
        </is>
      </c>
      <c r="B15" s="5" t="n">
        <v>5200</v>
      </c>
      <c r="C15" s="5" t="n">
        <v>5600</v>
      </c>
      <c r="D15" s="5" t="n">
        <v>5900</v>
      </c>
      <c r="E15" s="5" t="n">
        <v>6000</v>
      </c>
    </row>
    <row r="16">
      <c r="A16" s="4" t="inlineStr">
        <is>
          <t>Total Current Assets</t>
        </is>
      </c>
      <c r="B16" s="5" t="n">
        <v>12000</v>
      </c>
      <c r="C16" s="5" t="n">
        <v>13000</v>
      </c>
      <c r="D16" s="5" t="n">
        <v>14100</v>
      </c>
      <c r="E16" s="5" t="n">
        <v>15000</v>
      </c>
    </row>
    <row r="17">
      <c r="A17" s="4" t="inlineStr">
        <is>
          <t>Goodwill &amp; Intangibles</t>
        </is>
      </c>
      <c r="B17" s="5" t="n">
        <v>23500</v>
      </c>
      <c r="C17" s="5" t="n">
        <v>24200</v>
      </c>
      <c r="D17" s="5" t="n">
        <v>25100</v>
      </c>
      <c r="E17" s="5" t="n">
        <v>25800</v>
      </c>
    </row>
    <row r="18">
      <c r="A18" s="4" t="inlineStr">
        <is>
          <t>Total Assets</t>
        </is>
      </c>
      <c r="B18" s="5" t="n">
        <v>52000</v>
      </c>
      <c r="C18" s="5" t="n">
        <v>54500</v>
      </c>
      <c r="D18" s="5" t="n">
        <v>57200</v>
      </c>
      <c r="E18" s="5" t="n">
        <v>60000</v>
      </c>
    </row>
    <row r="20">
      <c r="A20" s="4" t="inlineStr">
        <is>
          <t>Accounts Payable</t>
        </is>
      </c>
      <c r="B20" s="5" t="n">
        <v>3500</v>
      </c>
      <c r="C20" s="5" t="n">
        <v>3700</v>
      </c>
      <c r="D20" s="5" t="n">
        <v>3900</v>
      </c>
      <c r="E20" s="5" t="n">
        <v>4100</v>
      </c>
    </row>
    <row r="21">
      <c r="A21" s="4" t="inlineStr">
        <is>
          <t>Total Current Liabilities</t>
        </is>
      </c>
      <c r="B21" s="5" t="n">
        <v>8500</v>
      </c>
      <c r="C21" s="5" t="n">
        <v>9200</v>
      </c>
      <c r="D21" s="5" t="n">
        <v>10000</v>
      </c>
      <c r="E21" s="5" t="n">
        <v>10500</v>
      </c>
    </row>
    <row r="22">
      <c r="A22" s="4" t="inlineStr">
        <is>
          <t>Long-term Debt</t>
        </is>
      </c>
      <c r="B22" s="5" t="n">
        <v>8500</v>
      </c>
      <c r="C22" s="5" t="n">
        <v>8800</v>
      </c>
      <c r="D22" s="5" t="n">
        <v>9000</v>
      </c>
      <c r="E22" s="5" t="n">
        <v>9100</v>
      </c>
    </row>
    <row r="23">
      <c r="A23" s="4" t="inlineStr">
        <is>
          <t>Total Liabilities</t>
        </is>
      </c>
      <c r="B23" s="5" t="n">
        <v>20000</v>
      </c>
      <c r="C23" s="5" t="n">
        <v>21500</v>
      </c>
      <c r="D23" s="5" t="n">
        <v>23500</v>
      </c>
      <c r="E23" s="5" t="n">
        <v>24800</v>
      </c>
    </row>
    <row r="24">
      <c r="A24" s="4" t="inlineStr">
        <is>
          <t>Shareholders' Equity</t>
        </is>
      </c>
      <c r="B24" s="5">
        <f>B26-B29</f>
        <v/>
      </c>
      <c r="C24" s="5">
        <f>C26-C29</f>
        <v/>
      </c>
      <c r="D24" s="5">
        <f>D26-D29</f>
        <v/>
      </c>
      <c r="E24" s="5">
        <f>E26-E29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EMC CORPORATION - PROJECTED FINANCIALS</t>
        </is>
      </c>
      <c r="B1" s="2" t="n"/>
      <c r="C1" s="2" t="n"/>
      <c r="D1" s="2" t="n"/>
      <c r="E1" s="2" t="n"/>
      <c r="F1" s="2" t="n"/>
      <c r="G1" s="3" t="n"/>
    </row>
    <row r="2">
      <c r="A2" s="1" t="inlineStr">
        <is>
          <t>Fiscal Years 2016-2021 ($ mm)</t>
        </is>
      </c>
      <c r="B2" s="2" t="n"/>
      <c r="C2" s="2" t="n"/>
      <c r="D2" s="2" t="n"/>
      <c r="E2" s="2" t="n"/>
      <c r="F2" s="2" t="n"/>
      <c r="G2" s="3" t="n"/>
    </row>
    <row r="3">
      <c r="A3" s="1" t="inlineStr">
        <is>
          <t>KEY ASSUMPTIONS</t>
        </is>
      </c>
      <c r="B3" s="2" t="n"/>
      <c r="C3" s="2" t="n"/>
      <c r="D3" s="2" t="n"/>
      <c r="E3" s="2" t="n"/>
      <c r="F3" s="2" t="n"/>
      <c r="G3" s="3" t="n"/>
    </row>
    <row r="4">
      <c r="A4" s="4" t="inlineStr">
        <is>
          <t>Revenue Growth Rate:</t>
        </is>
      </c>
      <c r="B4" s="15" t="n">
        <v>0.04</v>
      </c>
    </row>
    <row r="5">
      <c r="A5" s="4" t="inlineStr">
        <is>
          <t>EBITDA Margin (2016):</t>
        </is>
      </c>
      <c r="B5" s="15" t="n">
        <v>0.19</v>
      </c>
    </row>
    <row r="6">
      <c r="A6" s="4" t="inlineStr">
        <is>
          <t>EBITDA Margin (2021):</t>
        </is>
      </c>
      <c r="B6" s="15" t="n">
        <v>0.21</v>
      </c>
    </row>
    <row r="7">
      <c r="A7" s="4" t="inlineStr">
        <is>
          <t>D&amp;A as % of Revenue:</t>
        </is>
      </c>
      <c r="B7" s="15" t="n">
        <v>0.054</v>
      </c>
    </row>
    <row r="8">
      <c r="A8" s="4" t="inlineStr">
        <is>
          <t>Tax Rate:</t>
        </is>
      </c>
      <c r="B8" s="15" t="n">
        <v>0.35</v>
      </c>
    </row>
    <row r="9">
      <c r="A9" s="4" t="inlineStr">
        <is>
          <t>CapEx as % of Revenue:</t>
        </is>
      </c>
      <c r="B9" s="15" t="n">
        <v>0.04</v>
      </c>
    </row>
    <row r="11">
      <c r="A11" s="1" t="inlineStr">
        <is>
          <t>Line Item</t>
        </is>
      </c>
      <c r="B11" s="1" t="inlineStr">
        <is>
          <t>2016</t>
        </is>
      </c>
      <c r="C11" s="1" t="inlineStr">
        <is>
          <t>2017</t>
        </is>
      </c>
      <c r="D11" s="1" t="inlineStr">
        <is>
          <t>2018</t>
        </is>
      </c>
      <c r="E11" s="1" t="inlineStr">
        <is>
          <t>2019</t>
        </is>
      </c>
      <c r="F11" s="1" t="inlineStr">
        <is>
          <t>2020</t>
        </is>
      </c>
      <c r="G11" s="1" t="inlineStr">
        <is>
          <t>2021</t>
        </is>
      </c>
    </row>
    <row r="12">
      <c r="A12" s="13" t="inlineStr">
        <is>
          <t>INCOME STATEMENT</t>
        </is>
      </c>
    </row>
    <row r="13">
      <c r="A13" s="4" t="inlineStr">
        <is>
          <t>Revenue</t>
        </is>
      </c>
      <c r="B13" s="5" t="n">
        <v>25800</v>
      </c>
      <c r="C13" s="5">
        <f>B13*(1+$B$4)</f>
        <v/>
      </c>
      <c r="D13" s="5">
        <f>C13*(1+$B$4)</f>
        <v/>
      </c>
      <c r="E13" s="5">
        <f>D13*(1+$B$4)</f>
        <v/>
      </c>
      <c r="F13" s="5">
        <f>E13*(1+$B$4)</f>
        <v/>
      </c>
      <c r="G13" s="5">
        <f>F13*(1+$B$4)</f>
        <v/>
      </c>
    </row>
    <row r="14">
      <c r="A14" s="4" t="inlineStr">
        <is>
          <t>EBITDA</t>
        </is>
      </c>
      <c r="B14" s="5">
        <f>B13*$B$5</f>
        <v/>
      </c>
      <c r="C14" s="5">
        <f>C13*($B$5+(3-2)*($B$6-$B$5)/5)</f>
        <v/>
      </c>
      <c r="D14" s="5">
        <f>D13*($B$5+(4-2)*($B$6-$B$5)/5)</f>
        <v/>
      </c>
      <c r="E14" s="5">
        <f>E13*($B$5+(5-2)*($B$6-$B$5)/5)</f>
        <v/>
      </c>
      <c r="F14" s="5">
        <f>F13*($B$5+(6-2)*($B$6-$B$5)/5)</f>
        <v/>
      </c>
      <c r="G14" s="5">
        <f>G13*($B$5+(7-2)*($B$6-$B$5)/5)</f>
        <v/>
      </c>
    </row>
    <row r="15">
      <c r="A15" s="4" t="inlineStr">
        <is>
          <t>Less: D&amp;A</t>
        </is>
      </c>
      <c r="B15" s="5">
        <f>B13*$B$7</f>
        <v/>
      </c>
      <c r="C15" s="5">
        <f>C13*$B$7</f>
        <v/>
      </c>
      <c r="D15" s="5">
        <f>D13*$B$7</f>
        <v/>
      </c>
      <c r="E15" s="5">
        <f>E13*$B$7</f>
        <v/>
      </c>
      <c r="F15" s="5">
        <f>F13*$B$7</f>
        <v/>
      </c>
      <c r="G15" s="5">
        <f>G13*$B$7</f>
        <v/>
      </c>
    </row>
    <row r="16">
      <c r="A16" s="4" t="inlineStr">
        <is>
          <t>EBIT</t>
        </is>
      </c>
      <c r="B16" s="5">
        <f>B14-B15</f>
        <v/>
      </c>
      <c r="C16" s="5">
        <f>C14-C15</f>
        <v/>
      </c>
      <c r="D16" s="5">
        <f>D14-D15</f>
        <v/>
      </c>
      <c r="E16" s="5">
        <f>E14-E15</f>
        <v/>
      </c>
      <c r="F16" s="5">
        <f>F14-F15</f>
        <v/>
      </c>
      <c r="G16" s="5">
        <f>G14-G15</f>
        <v/>
      </c>
    </row>
    <row r="17">
      <c r="A17" s="4" t="inlineStr">
        <is>
          <t>Less: Interest Expense</t>
        </is>
      </c>
      <c r="B17" s="5" t="n">
        <v>950</v>
      </c>
      <c r="C17" s="5">
        <f>C16*0.05</f>
        <v/>
      </c>
      <c r="D17" s="5">
        <f>D16*0.05</f>
        <v/>
      </c>
      <c r="E17" s="5">
        <f>E16*0.05</f>
        <v/>
      </c>
      <c r="F17" s="5">
        <f>F16*0.05</f>
        <v/>
      </c>
      <c r="G17" s="5">
        <f>G16*0.05</f>
        <v/>
      </c>
    </row>
    <row r="18">
      <c r="A18" s="4" t="inlineStr">
        <is>
          <t>EBT</t>
        </is>
      </c>
      <c r="B18" s="5">
        <f>B16-B17</f>
        <v/>
      </c>
      <c r="C18" s="5">
        <f>C16-C17</f>
        <v/>
      </c>
      <c r="D18" s="5">
        <f>D16-D17</f>
        <v/>
      </c>
      <c r="E18" s="5">
        <f>E16-E17</f>
        <v/>
      </c>
      <c r="F18" s="5">
        <f>F16-F17</f>
        <v/>
      </c>
      <c r="G18" s="5">
        <f>G16-G17</f>
        <v/>
      </c>
    </row>
    <row r="19">
      <c r="A19" s="4" t="inlineStr">
        <is>
          <t>Less: Taxes</t>
        </is>
      </c>
      <c r="B19" s="5">
        <f>B18*$B$8</f>
        <v/>
      </c>
      <c r="C19" s="5">
        <f>C18*$B$8</f>
        <v/>
      </c>
      <c r="D19" s="5">
        <f>D18*$B$8</f>
        <v/>
      </c>
      <c r="E19" s="5">
        <f>E18*$B$8</f>
        <v/>
      </c>
      <c r="F19" s="5">
        <f>F18*$B$8</f>
        <v/>
      </c>
      <c r="G19" s="5">
        <f>G18*$B$8</f>
        <v/>
      </c>
    </row>
    <row r="20">
      <c r="A20" s="4" t="inlineStr">
        <is>
          <t>Net Income</t>
        </is>
      </c>
      <c r="B20" s="5">
        <f>B18-B19</f>
        <v/>
      </c>
      <c r="C20" s="5">
        <f>C18-C19</f>
        <v/>
      </c>
      <c r="D20" s="5">
        <f>D18-D19</f>
        <v/>
      </c>
      <c r="E20" s="5">
        <f>E18-E19</f>
        <v/>
      </c>
      <c r="F20" s="5">
        <f>F18-F19</f>
        <v/>
      </c>
      <c r="G20" s="5">
        <f>G18-G19</f>
        <v/>
      </c>
    </row>
    <row r="22">
      <c r="A22" s="13" t="inlineStr">
        <is>
          <t>CASH FLOW ANALYSIS</t>
        </is>
      </c>
    </row>
    <row r="23">
      <c r="A23" s="4" t="inlineStr">
        <is>
          <t>Net Income</t>
        </is>
      </c>
      <c r="B23" s="5">
        <f>B20</f>
        <v/>
      </c>
      <c r="C23" s="5">
        <f>C20</f>
        <v/>
      </c>
      <c r="D23" s="5">
        <f>D20</f>
        <v/>
      </c>
      <c r="E23" s="5">
        <f>E20</f>
        <v/>
      </c>
      <c r="F23" s="5">
        <f>F20</f>
        <v/>
      </c>
      <c r="G23" s="5">
        <f>G20</f>
        <v/>
      </c>
    </row>
    <row r="24">
      <c r="A24" s="4" t="inlineStr">
        <is>
          <t>Plus: D&amp;A</t>
        </is>
      </c>
      <c r="B24" s="5">
        <f>B15</f>
        <v/>
      </c>
      <c r="C24" s="5">
        <f>C15</f>
        <v/>
      </c>
      <c r="D24" s="5">
        <f>D15</f>
        <v/>
      </c>
      <c r="E24" s="5">
        <f>E15</f>
        <v/>
      </c>
      <c r="F24" s="5">
        <f>F15</f>
        <v/>
      </c>
      <c r="G24" s="5">
        <f>G15</f>
        <v/>
      </c>
    </row>
    <row r="25">
      <c r="A25" s="4" t="inlineStr">
        <is>
          <t>Less: CapEx</t>
        </is>
      </c>
      <c r="B25" s="5">
        <f>B13*$B$9</f>
        <v/>
      </c>
      <c r="C25" s="5">
        <f>C13*$B$9</f>
        <v/>
      </c>
      <c r="D25" s="5">
        <f>D13*$B$9</f>
        <v/>
      </c>
      <c r="E25" s="5">
        <f>E13*$B$9</f>
        <v/>
      </c>
      <c r="F25" s="5">
        <f>F13*$B$9</f>
        <v/>
      </c>
      <c r="G25" s="5">
        <f>G13*$B$9</f>
        <v/>
      </c>
    </row>
    <row r="26">
      <c r="A26" s="4" t="inlineStr">
        <is>
          <t>Less: Change in NWC</t>
        </is>
      </c>
      <c r="B26" s="5" t="n">
        <v>50</v>
      </c>
      <c r="C26" s="5" t="n">
        <v>50</v>
      </c>
      <c r="D26" s="5" t="n">
        <v>50</v>
      </c>
      <c r="E26" s="5" t="n">
        <v>50</v>
      </c>
      <c r="F26" s="5" t="n">
        <v>50</v>
      </c>
      <c r="G26" s="5" t="n">
        <v>50</v>
      </c>
    </row>
    <row r="27">
      <c r="A27" s="4" t="inlineStr">
        <is>
          <t>Free Cash Flow</t>
        </is>
      </c>
      <c r="B27" s="5">
        <f>B23+B24-B25-B26</f>
        <v/>
      </c>
      <c r="C27" s="5">
        <f>C23+C24-C25-C26</f>
        <v/>
      </c>
      <c r="D27" s="5">
        <f>D23+D24-D25-D26</f>
        <v/>
      </c>
      <c r="E27" s="5">
        <f>E23+E24-E25-E26</f>
        <v/>
      </c>
      <c r="F27" s="5">
        <f>F23+F24-F25-F26</f>
        <v/>
      </c>
      <c r="G27" s="5">
        <f>G23+G24-G25-G26</f>
        <v/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DEBT SCHEDULE &amp; LEVERAGE ANALYSIS</t>
        </is>
      </c>
      <c r="B1" s="2" t="n"/>
      <c r="C1" s="2" t="n"/>
      <c r="D1" s="2" t="n"/>
      <c r="E1" s="2" t="n"/>
      <c r="F1" s="2" t="n"/>
      <c r="G1" s="3" t="n"/>
    </row>
    <row r="2">
      <c r="A2" s="1" t="inlineStr">
        <is>
          <t>Fiscal Years 2016-2021 ($ mm)</t>
        </is>
      </c>
      <c r="B2" s="2" t="n"/>
      <c r="C2" s="2" t="n"/>
      <c r="D2" s="2" t="n"/>
      <c r="E2" s="2" t="n"/>
      <c r="F2" s="2" t="n"/>
      <c r="G2" s="3" t="n"/>
    </row>
    <row r="3">
      <c r="A3" s="1" t="inlineStr">
        <is>
          <t>DEBT ASSUMPTIONS</t>
        </is>
      </c>
      <c r="B3" s="2" t="n"/>
      <c r="C3" s="2" t="n"/>
      <c r="D3" s="2" t="n"/>
      <c r="E3" s="2" t="n"/>
      <c r="F3" s="2" t="n"/>
      <c r="G3" s="3" t="n"/>
    </row>
    <row r="4">
      <c r="A4" s="4" t="inlineStr">
        <is>
          <t>Senior Secured Term Loan:</t>
        </is>
      </c>
      <c r="B4" s="8" t="n">
        <v>9750</v>
      </c>
    </row>
    <row r="5">
      <c r="A5" s="4" t="inlineStr">
        <is>
          <t>Senior Unsecured Notes:</t>
        </is>
      </c>
      <c r="B5" s="8" t="n">
        <v>5500</v>
      </c>
    </row>
    <row r="6">
      <c r="A6" s="4" t="inlineStr">
        <is>
          <t>Mezzanine Debt:</t>
        </is>
      </c>
      <c r="B6" s="8" t="n">
        <v>1750</v>
      </c>
    </row>
    <row r="7">
      <c r="A7" s="4" t="inlineStr">
        <is>
          <t>Total Debt at Close:</t>
        </is>
      </c>
      <c r="B7" s="5">
        <f>B4+B5+B6</f>
        <v/>
      </c>
    </row>
    <row r="8">
      <c r="A8" s="4" t="inlineStr">
        <is>
          <t>Term Loan Interest Rate:</t>
        </is>
      </c>
      <c r="B8" s="15" t="n">
        <v>0.042</v>
      </c>
    </row>
    <row r="9">
      <c r="A9" s="4" t="inlineStr">
        <is>
          <t>Senior Notes Interest Rate:</t>
        </is>
      </c>
      <c r="B9" s="15" t="n">
        <v>0.055</v>
      </c>
    </row>
    <row r="10">
      <c r="A10" s="4" t="inlineStr">
        <is>
          <t>Mezzanine Interest Rate:</t>
        </is>
      </c>
      <c r="B10" s="15" t="n">
        <v>0.075</v>
      </c>
    </row>
    <row r="11">
      <c r="A11" s="4" t="inlineStr">
        <is>
          <t>Term Loan Amortization %:</t>
        </is>
      </c>
      <c r="B11" s="15" t="n">
        <v>0.01</v>
      </c>
    </row>
    <row r="13">
      <c r="A13" s="1" t="inlineStr">
        <is>
          <t>Line Item</t>
        </is>
      </c>
      <c r="B13" s="1" t="inlineStr">
        <is>
          <t>2016</t>
        </is>
      </c>
      <c r="C13" s="1" t="inlineStr">
        <is>
          <t>2017</t>
        </is>
      </c>
      <c r="D13" s="1" t="inlineStr">
        <is>
          <t>2018</t>
        </is>
      </c>
      <c r="E13" s="1" t="inlineStr">
        <is>
          <t>2019</t>
        </is>
      </c>
      <c r="F13" s="1" t="inlineStr">
        <is>
          <t>2020</t>
        </is>
      </c>
      <c r="G13" s="1" t="inlineStr">
        <is>
          <t>2021</t>
        </is>
      </c>
    </row>
    <row r="14">
      <c r="A14" s="13" t="inlineStr">
        <is>
          <t>TERM LOAN BALANCE</t>
        </is>
      </c>
    </row>
    <row r="15">
      <c r="A15" s="4" t="inlineStr">
        <is>
          <t>Beginning Balance</t>
        </is>
      </c>
      <c r="B15" s="5" t="n">
        <v>9750</v>
      </c>
      <c r="C15" s="5">
        <f>B17</f>
        <v/>
      </c>
      <c r="D15" s="5">
        <f>C17</f>
        <v/>
      </c>
      <c r="E15" s="5">
        <f>D17</f>
        <v/>
      </c>
      <c r="F15" s="5">
        <f>E17</f>
        <v/>
      </c>
      <c r="G15" s="5">
        <f>F17</f>
        <v/>
      </c>
    </row>
    <row r="16">
      <c r="A16" s="4" t="inlineStr">
        <is>
          <t>Less: Amortization</t>
        </is>
      </c>
      <c r="B16" s="5">
        <f>B15*$B$11</f>
        <v/>
      </c>
      <c r="C16" s="5">
        <f>C15*$B$11</f>
        <v/>
      </c>
      <c r="D16" s="5">
        <f>D15*$B$11</f>
        <v/>
      </c>
      <c r="E16" s="5">
        <f>E15*$B$11</f>
        <v/>
      </c>
      <c r="F16" s="5">
        <f>F15*$B$11</f>
        <v/>
      </c>
      <c r="G16" s="5">
        <f>G15*$B$11</f>
        <v/>
      </c>
    </row>
    <row r="17">
      <c r="A17" s="4" t="inlineStr">
        <is>
          <t>Ending Balance</t>
        </is>
      </c>
      <c r="B17" s="5">
        <f>B15-B16</f>
        <v/>
      </c>
      <c r="C17" s="5">
        <f>C15-C16</f>
        <v/>
      </c>
      <c r="D17" s="5">
        <f>D15-D16</f>
        <v/>
      </c>
      <c r="E17" s="5">
        <f>E15-E16</f>
        <v/>
      </c>
      <c r="F17" s="5">
        <f>F15-F16</f>
        <v/>
      </c>
      <c r="G17" s="5">
        <f>G15-G16</f>
        <v/>
      </c>
    </row>
    <row r="19">
      <c r="A19" s="13" t="inlineStr">
        <is>
          <t>INTEREST EXPENSE</t>
        </is>
      </c>
    </row>
    <row r="20">
      <c r="A20" s="4" t="inlineStr">
        <is>
          <t>Term Loan Interest</t>
        </is>
      </c>
      <c r="B20" s="5">
        <f>B15*$B$8</f>
        <v/>
      </c>
      <c r="C20" s="5">
        <f>C15*$B$8</f>
        <v/>
      </c>
      <c r="D20" s="5">
        <f>D15*$B$8</f>
        <v/>
      </c>
      <c r="E20" s="5">
        <f>E15*$B$8</f>
        <v/>
      </c>
      <c r="F20" s="5">
        <f>F15*$B$8</f>
        <v/>
      </c>
      <c r="G20" s="5">
        <f>G15*$B$8</f>
        <v/>
      </c>
    </row>
    <row r="21">
      <c r="A21" s="4" t="inlineStr">
        <is>
          <t>Senior Notes Interest</t>
        </is>
      </c>
      <c r="B21" s="5">
        <f>5500*$B$9</f>
        <v/>
      </c>
      <c r="C21" s="5">
        <f>5500*$B$9</f>
        <v/>
      </c>
      <c r="D21" s="5">
        <f>5500*$B$9</f>
        <v/>
      </c>
      <c r="E21" s="5">
        <f>5500*$B$9</f>
        <v/>
      </c>
      <c r="F21" s="5">
        <f>5500*$B$9</f>
        <v/>
      </c>
      <c r="G21" s="5">
        <f>5500*$B$9</f>
        <v/>
      </c>
    </row>
    <row r="22">
      <c r="A22" s="4" t="inlineStr">
        <is>
          <t>Mezzanine Interest</t>
        </is>
      </c>
      <c r="B22" s="5">
        <f>1750*$B$10</f>
        <v/>
      </c>
      <c r="C22" s="5">
        <f>1750*$B$10</f>
        <v/>
      </c>
      <c r="D22" s="5">
        <f>1750*$B$10</f>
        <v/>
      </c>
      <c r="E22" s="5">
        <f>1750*$B$10</f>
        <v/>
      </c>
      <c r="F22" s="5">
        <f>1750*$B$10</f>
        <v/>
      </c>
      <c r="G22" s="5">
        <f>1750*$B$10</f>
        <v/>
      </c>
    </row>
    <row r="23">
      <c r="A23" s="4" t="inlineStr">
        <is>
          <t>Total Interest Expense</t>
        </is>
      </c>
      <c r="B23" s="5">
        <f>B20+B21+B22</f>
        <v/>
      </c>
      <c r="C23" s="5">
        <f>C20+C21+C22</f>
        <v/>
      </c>
      <c r="D23" s="5">
        <f>D20+D21+D22</f>
        <v/>
      </c>
      <c r="E23" s="5">
        <f>E20+E21+E22</f>
        <v/>
      </c>
      <c r="F23" s="5">
        <f>F20+F21+F22</f>
        <v/>
      </c>
      <c r="G23" s="5">
        <f>G20+G21+G22</f>
        <v/>
      </c>
    </row>
    <row r="25">
      <c r="A25" s="1" t="inlineStr">
        <is>
          <t>LEVERAGE ANALYSIS</t>
        </is>
      </c>
      <c r="B25" s="2" t="n"/>
      <c r="C25" s="2" t="n"/>
      <c r="D25" s="2" t="n"/>
      <c r="E25" s="2" t="n"/>
      <c r="F25" s="2" t="n"/>
      <c r="G25" s="3" t="n"/>
    </row>
    <row r="26">
      <c r="A26" s="4" t="inlineStr">
        <is>
          <t>Total Debt</t>
        </is>
      </c>
      <c r="B26" s="5">
        <f>B17+5500+1750</f>
        <v/>
      </c>
      <c r="C26" s="5">
        <f>C17+5500+1750</f>
        <v/>
      </c>
      <c r="D26" s="5">
        <f>D17+5500+1750</f>
        <v/>
      </c>
      <c r="E26" s="5">
        <f>E17+5500+1750</f>
        <v/>
      </c>
      <c r="F26" s="5">
        <f>F17+5500+1750</f>
        <v/>
      </c>
      <c r="G26" s="5">
        <f>G17+5500+1750</f>
        <v/>
      </c>
    </row>
    <row r="27">
      <c r="A27" s="4" t="inlineStr">
        <is>
          <t>Less: Cash</t>
        </is>
      </c>
      <c r="B27" s="5" t="n">
        <v>4200</v>
      </c>
      <c r="C27" s="5" t="n">
        <v>4200</v>
      </c>
      <c r="D27" s="5" t="n">
        <v>4200</v>
      </c>
      <c r="E27" s="5" t="n">
        <v>4200</v>
      </c>
      <c r="F27" s="5" t="n">
        <v>4200</v>
      </c>
      <c r="G27" s="5" t="n">
        <v>4200</v>
      </c>
    </row>
    <row r="28">
      <c r="A28" s="4" t="inlineStr">
        <is>
          <t>Net Debt</t>
        </is>
      </c>
      <c r="B28" s="5">
        <f>B26-B27</f>
        <v/>
      </c>
      <c r="C28" s="5">
        <f>C26-C27</f>
        <v/>
      </c>
      <c r="D28" s="5">
        <f>D26-D27</f>
        <v/>
      </c>
      <c r="E28" s="5">
        <f>E26-E27</f>
        <v/>
      </c>
      <c r="F28" s="5">
        <f>F26-F27</f>
        <v/>
      </c>
      <c r="G28" s="5">
        <f>G26-G27</f>
        <v/>
      </c>
    </row>
    <row r="29">
      <c r="A29" s="4" t="inlineStr">
        <is>
          <t>EBITDA (from Projections)</t>
        </is>
      </c>
      <c r="B29" s="5">
        <f>Projections!B8</f>
        <v/>
      </c>
      <c r="C29" s="5">
        <f>Projections!C8</f>
        <v/>
      </c>
      <c r="D29" s="5">
        <f>Projections!D8</f>
        <v/>
      </c>
      <c r="E29" s="5">
        <f>Projections!E8</f>
        <v/>
      </c>
      <c r="F29" s="5">
        <f>Projections!F8</f>
        <v/>
      </c>
      <c r="G29" s="5">
        <f>Projections!G8</f>
        <v/>
      </c>
    </row>
    <row r="30">
      <c r="A30" s="4" t="inlineStr">
        <is>
          <t>Net Debt / EBITDA Leverage</t>
        </is>
      </c>
      <c r="B30" s="10">
        <f>B28/B29</f>
        <v/>
      </c>
      <c r="C30" s="10">
        <f>C28/C29</f>
        <v/>
      </c>
      <c r="D30" s="10">
        <f>D28/D29</f>
        <v/>
      </c>
      <c r="E30" s="10">
        <f>E28/E29</f>
        <v/>
      </c>
      <c r="F30" s="10">
        <f>F28/F29</f>
        <v/>
      </c>
      <c r="G30" s="10">
        <f>G28/G29</f>
        <v/>
      </c>
    </row>
  </sheetData>
  <mergeCells count="4">
    <mergeCell ref="A3:G3"/>
    <mergeCell ref="A2:G2"/>
    <mergeCell ref="A1:G1"/>
    <mergeCell ref="A25:G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LBO RETURNS ANALYSIS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1" t="inlineStr">
        <is>
          <t>Exit Scenarios - Multiple Exit Assumptions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4" t="inlineStr">
        <is>
          <t>Entry Enterprise Value ($ mm):</t>
        </is>
      </c>
      <c r="B4" s="5" t="n">
        <v>24950</v>
      </c>
    </row>
    <row r="5">
      <c r="A5" s="4" t="inlineStr">
        <is>
          <t>Entry EBITDA (FY2015):</t>
        </is>
      </c>
      <c r="B5" s="5" t="n">
        <v>4700</v>
      </c>
    </row>
    <row r="6">
      <c r="A6" s="4" t="inlineStr">
        <is>
          <t>Entry EV/EBITDA Multiple:</t>
        </is>
      </c>
      <c r="B6" s="10">
        <f>B4/B5</f>
        <v/>
      </c>
    </row>
    <row r="7">
      <c r="A7" s="4" t="inlineStr">
        <is>
          <t>Initial Equity Investment:</t>
        </is>
      </c>
      <c r="B7" s="5" t="n">
        <v>11100</v>
      </c>
    </row>
    <row r="9">
      <c r="A9" s="4" t="inlineStr">
        <is>
          <t>Exit Year EBITDA (FY2021):</t>
        </is>
      </c>
      <c r="B9" s="5">
        <f>Projections!G8</f>
        <v/>
      </c>
    </row>
    <row r="10">
      <c r="A10" s="4" t="inlineStr">
        <is>
          <t>Exit Net Debt (FY2021):</t>
        </is>
      </c>
      <c r="B10" s="5">
        <f>Projections!G37-4200</f>
        <v/>
      </c>
    </row>
    <row r="12">
      <c r="A12" s="1" t="inlineStr">
        <is>
          <t>IRR SENSITIVITY - Exit Multiple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4" t="inlineStr">
        <is>
          <t>Exit Multiple (EBITDA):</t>
        </is>
      </c>
      <c r="B13" s="1" t="inlineStr">
        <is>
          <t>7.0x</t>
        </is>
      </c>
      <c r="C13" s="1" t="inlineStr">
        <is>
          <t>8.0x</t>
        </is>
      </c>
      <c r="D13" s="1" t="inlineStr">
        <is>
          <t>9.0x</t>
        </is>
      </c>
      <c r="E13" s="1" t="inlineStr">
        <is>
          <t>10.0x</t>
        </is>
      </c>
      <c r="F13" s="1" t="inlineStr">
        <is>
          <t>11.0x</t>
        </is>
      </c>
    </row>
    <row r="14">
      <c r="A14" s="4" t="inlineStr">
        <is>
          <t>Year 5 Exit</t>
        </is>
      </c>
      <c r="B14" s="14">
        <f>(((B$9*7.0)-B$10)/B$7)^(1/5)-1</f>
        <v/>
      </c>
      <c r="C14" s="14">
        <f>(((B$9*8.0)-B$10)/B$7)^(1/5)-1</f>
        <v/>
      </c>
      <c r="D14" s="14">
        <f>(((B$9*9.0)-B$10)/B$7)^(1/5)-1</f>
        <v/>
      </c>
      <c r="E14" s="14">
        <f>(((B$9*10.0)-B$10)/B$7)^(1/5)-1</f>
        <v/>
      </c>
      <c r="F14" s="14">
        <f>(((B$9*11.0)-B$10)/B$7)^(1/5)-1</f>
        <v/>
      </c>
    </row>
    <row r="15">
      <c r="A15" s="4" t="inlineStr">
        <is>
          <t>Year 6 Exit</t>
        </is>
      </c>
      <c r="B15" s="14">
        <f>(((B$9*7.0)-B$10)/B$7)^(1/6)-1</f>
        <v/>
      </c>
      <c r="C15" s="14">
        <f>(((B$9*8.0)-B$10)/B$7)^(1/6)-1</f>
        <v/>
      </c>
      <c r="D15" s="14">
        <f>(((B$9*9.0)-B$10)/B$7)^(1/6)-1</f>
        <v/>
      </c>
      <c r="E15" s="14">
        <f>(((B$9*10.0)-B$10)/B$7)^(1/6)-1</f>
        <v/>
      </c>
      <c r="F15" s="14">
        <f>(((B$9*11.0)-B$10)/B$7)^(1/6)-1</f>
        <v/>
      </c>
    </row>
    <row r="18">
      <c r="A18" s="1" t="inlineStr">
        <is>
          <t>EQUITY VALUE AT EXIT</t>
        </is>
      </c>
      <c r="B18" s="2" t="n"/>
      <c r="C18" s="3" t="n"/>
    </row>
    <row r="19">
      <c r="A19" s="4" t="inlineStr">
        <is>
          <t>Exit Multiple:</t>
        </is>
      </c>
      <c r="B19" s="1" t="inlineStr">
        <is>
          <t>7.0x</t>
        </is>
      </c>
      <c r="C19" s="1" t="inlineStr">
        <is>
          <t>9.0x</t>
        </is>
      </c>
      <c r="D19" s="1" t="inlineStr">
        <is>
          <t>11.0x</t>
        </is>
      </c>
    </row>
    <row r="20">
      <c r="A20" s="4" t="inlineStr">
        <is>
          <t>Exit EV:</t>
        </is>
      </c>
      <c r="B20" s="5">
        <f>B$9*7.0</f>
        <v/>
      </c>
      <c r="C20" s="5">
        <f>B$9*9.0</f>
        <v/>
      </c>
      <c r="D20" s="5">
        <f>B$9*11.0</f>
        <v/>
      </c>
    </row>
    <row r="21">
      <c r="A21" s="4" t="inlineStr">
        <is>
          <t>Less: Exit Net Debt:</t>
        </is>
      </c>
      <c r="B21" s="5">
        <f>B$10</f>
        <v/>
      </c>
      <c r="C21" s="5">
        <f>B$10</f>
        <v/>
      </c>
      <c r="D21" s="5">
        <f>B$10</f>
        <v/>
      </c>
    </row>
    <row r="22">
      <c r="A22" s="4" t="inlineStr">
        <is>
          <t>Equity Value:</t>
        </is>
      </c>
      <c r="B22" s="5">
        <f>B20-B21</f>
        <v/>
      </c>
      <c r="C22" s="5">
        <f>C20-C21</f>
        <v/>
      </c>
      <c r="D22" s="5">
        <f>D20-D21</f>
        <v/>
      </c>
    </row>
    <row r="23">
      <c r="A23" s="4" t="inlineStr">
        <is>
          <t>Initial Equity:</t>
        </is>
      </c>
      <c r="B23" s="5">
        <f>B$7</f>
        <v/>
      </c>
      <c r="C23" s="5">
        <f>B$7</f>
        <v/>
      </c>
      <c r="D23" s="5">
        <f>B$7</f>
        <v/>
      </c>
    </row>
    <row r="24">
      <c r="A24" s="4" t="inlineStr">
        <is>
          <t>MOIC (Money Multiple):</t>
        </is>
      </c>
      <c r="B24" s="10">
        <f>B22/B23</f>
        <v/>
      </c>
      <c r="C24" s="10">
        <f>C22/C23</f>
        <v/>
      </c>
      <c r="D24" s="10">
        <f>D22/D23</f>
        <v/>
      </c>
    </row>
    <row r="25">
      <c r="A25" s="4" t="inlineStr">
        <is>
          <t>5-Year IRR:</t>
        </is>
      </c>
      <c r="B25" s="14">
        <f>((B22/B$7)^(1/5))-1</f>
        <v/>
      </c>
      <c r="C25" s="14">
        <f>((C22/B$7)^(1/5))-1</f>
        <v/>
      </c>
      <c r="D25" s="14">
        <f>((D22/B$7)^(1/5))-1</f>
        <v/>
      </c>
    </row>
  </sheetData>
  <mergeCells count="4">
    <mergeCell ref="A12:H12"/>
    <mergeCell ref="A18:C18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LBO SENSITIVITY ANALYSIS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" t="inlineStr">
        <is>
          <t>2D SENSITIVITY: 5-Year IRR by Exit Multiple &amp; Year</t>
        </is>
      </c>
      <c r="B3" s="2" t="n"/>
      <c r="C3" s="2" t="n"/>
      <c r="D3" s="2" t="n"/>
      <c r="E3" s="2" t="n"/>
      <c r="F3" s="2" t="n"/>
      <c r="G3" s="2" t="n"/>
      <c r="H3" s="3" t="n"/>
    </row>
    <row r="4">
      <c r="A4" s="4" t="inlineStr">
        <is>
          <t>Exit Multiple / Year</t>
        </is>
      </c>
      <c r="B4" s="1" t="inlineStr">
        <is>
          <t>7.0x</t>
        </is>
      </c>
      <c r="C4" s="1" t="inlineStr">
        <is>
          <t>8.0x</t>
        </is>
      </c>
      <c r="D4" s="1" t="inlineStr">
        <is>
          <t>9.0x</t>
        </is>
      </c>
      <c r="E4" s="1" t="inlineStr">
        <is>
          <t>10.0x</t>
        </is>
      </c>
      <c r="F4" s="1" t="inlineStr">
        <is>
          <t>11.0x</t>
        </is>
      </c>
    </row>
    <row r="5">
      <c r="A5" s="4" t="inlineStr">
        <is>
          <t>Year 4</t>
        </is>
      </c>
      <c r="B5" s="16">
        <f>(((4738*7.0)-12750)/(11100))^(1/4)-1</f>
        <v/>
      </c>
      <c r="C5" s="16">
        <f>(((4738*8.0)-12750)/(11100))^(1/4)-1</f>
        <v/>
      </c>
      <c r="D5" s="16">
        <f>(((4738*9.0)-12750)/(11100))^(1/4)-1</f>
        <v/>
      </c>
      <c r="E5" s="16">
        <f>(((4738*10.0)-12750)/(11100))^(1/4)-1</f>
        <v/>
      </c>
      <c r="F5" s="16">
        <f>(((4738*11.0)-12750)/(11100))^(1/4)-1</f>
        <v/>
      </c>
    </row>
    <row r="6">
      <c r="A6" s="4" t="inlineStr">
        <is>
          <t>Year 5</t>
        </is>
      </c>
      <c r="B6" s="16">
        <f>(((4738*7.0)-12750)/(11100))^(1/5)-1</f>
        <v/>
      </c>
      <c r="C6" s="16">
        <f>(((4738*8.0)-12750)/(11100))^(1/5)-1</f>
        <v/>
      </c>
      <c r="D6" s="16">
        <f>(((4738*9.0)-12750)/(11100))^(1/5)-1</f>
        <v/>
      </c>
      <c r="E6" s="16">
        <f>(((4738*10.0)-12750)/(11100))^(1/5)-1</f>
        <v/>
      </c>
      <c r="F6" s="16">
        <f>(((4738*11.0)-12750)/(11100))^(1/5)-1</f>
        <v/>
      </c>
    </row>
    <row r="7">
      <c r="A7" s="4" t="inlineStr">
        <is>
          <t>Year 6</t>
        </is>
      </c>
      <c r="B7" s="16">
        <f>(((4738*7.0)-12750)/(11100))^(1/6)-1</f>
        <v/>
      </c>
      <c r="C7" s="16">
        <f>(((4738*8.0)-12750)/(11100))^(1/6)-1</f>
        <v/>
      </c>
      <c r="D7" s="16">
        <f>(((4738*9.0)-12750)/(11100))^(1/6)-1</f>
        <v/>
      </c>
      <c r="E7" s="16">
        <f>(((4738*10.0)-12750)/(11100))^(1/6)-1</f>
        <v/>
      </c>
      <c r="F7" s="16">
        <f>(((4738*11.0)-12750)/(11100))^(1/6)-1</f>
        <v/>
      </c>
    </row>
    <row r="8">
      <c r="A8" s="4" t="inlineStr">
        <is>
          <t>Year 7</t>
        </is>
      </c>
      <c r="B8" s="16">
        <f>(((4738*7.0)-12750)/(11100))^(1/7)-1</f>
        <v/>
      </c>
      <c r="C8" s="16">
        <f>(((4738*8.0)-12750)/(11100))^(1/7)-1</f>
        <v/>
      </c>
      <c r="D8" s="16">
        <f>(((4738*9.0)-12750)/(11100))^(1/7)-1</f>
        <v/>
      </c>
      <c r="E8" s="16">
        <f>(((4738*10.0)-12750)/(11100))^(1/7)-1</f>
        <v/>
      </c>
      <c r="F8" s="16">
        <f>(((4738*11.0)-12750)/(11100))^(1/7)-1</f>
        <v/>
      </c>
    </row>
    <row r="11">
      <c r="A11" s="1" t="inlineStr">
        <is>
          <t>2D SENSITIVITY: Exit Enterprise Value ($mm)</t>
        </is>
      </c>
      <c r="B11" s="2" t="n"/>
      <c r="C11" s="2" t="n"/>
      <c r="D11" s="2" t="n"/>
      <c r="E11" s="2" t="n"/>
      <c r="F11" s="2" t="n"/>
      <c r="G11" s="2" t="n"/>
      <c r="H11" s="3" t="n"/>
    </row>
    <row r="12">
      <c r="A12" s="4" t="inlineStr">
        <is>
          <t>Revenue Growth / EBITDA %</t>
        </is>
      </c>
      <c r="B12" s="1" t="inlineStr">
        <is>
          <t>19.0%</t>
        </is>
      </c>
      <c r="C12" s="1" t="inlineStr">
        <is>
          <t>19.5%</t>
        </is>
      </c>
      <c r="D12" s="1" t="inlineStr">
        <is>
          <t>20.0%</t>
        </is>
      </c>
      <c r="E12" s="1" t="inlineStr">
        <is>
          <t>20.5%</t>
        </is>
      </c>
      <c r="F12" s="1" t="inlineStr">
        <is>
          <t>21.0%</t>
        </is>
      </c>
    </row>
    <row r="13">
      <c r="A13" s="4" t="inlineStr">
        <is>
          <t>3.0%</t>
        </is>
      </c>
      <c r="B13" s="5" t="n">
        <v>51893.7446619652</v>
      </c>
      <c r="C13" s="5" t="n">
        <v>53259.36952149061</v>
      </c>
      <c r="D13" s="5" t="n">
        <v>54624.99438101601</v>
      </c>
      <c r="E13" s="5" t="n">
        <v>55990.61924054141</v>
      </c>
      <c r="F13" s="5" t="n">
        <v>57356.2441000668</v>
      </c>
    </row>
    <row r="14">
      <c r="A14" s="4" t="inlineStr">
        <is>
          <t>3.5%</t>
        </is>
      </c>
      <c r="B14" s="5" t="n">
        <v>53165.58978597668</v>
      </c>
      <c r="C14" s="5" t="n">
        <v>54564.68425402871</v>
      </c>
      <c r="D14" s="5" t="n">
        <v>55963.77872208073</v>
      </c>
      <c r="E14" s="5" t="n">
        <v>57362.87319013276</v>
      </c>
      <c r="F14" s="5" t="n">
        <v>58761.96765818476</v>
      </c>
    </row>
    <row r="15">
      <c r="A15" s="4" t="inlineStr">
        <is>
          <t>4.0%</t>
        </is>
      </c>
      <c r="B15" s="5" t="n">
        <v>54462.25052303361</v>
      </c>
      <c r="C15" s="5" t="n">
        <v>55895.46764206081</v>
      </c>
      <c r="D15" s="5" t="n">
        <v>57328.68476108801</v>
      </c>
      <c r="E15" s="5" t="n">
        <v>58761.90188011521</v>
      </c>
      <c r="F15" s="5" t="n">
        <v>60195.1189991424</v>
      </c>
    </row>
    <row r="16">
      <c r="A16" s="4" t="inlineStr">
        <is>
          <t>4.5%</t>
        </is>
      </c>
      <c r="B16" s="5" t="n">
        <v>55784.08825710448</v>
      </c>
      <c r="C16" s="5" t="n">
        <v>57252.09057965986</v>
      </c>
      <c r="D16" s="5" t="n">
        <v>58720.09290221524</v>
      </c>
      <c r="E16" s="5" t="n">
        <v>60188.09522477062</v>
      </c>
      <c r="F16" s="5" t="n">
        <v>61656.097547326</v>
      </c>
    </row>
    <row r="17">
      <c r="A17" s="4" t="inlineStr">
        <is>
          <t>5.0%</t>
        </is>
      </c>
      <c r="B17" s="5" t="n">
        <v>57131.46786375001</v>
      </c>
      <c r="C17" s="5" t="n">
        <v>58634.92754437502</v>
      </c>
      <c r="D17" s="5" t="n">
        <v>60138.38722500002</v>
      </c>
      <c r="E17" s="5" t="n">
        <v>61641.84690562502</v>
      </c>
      <c r="F17" s="5" t="n">
        <v>63145.30658625002</v>
      </c>
    </row>
  </sheetData>
  <mergeCells count="3">
    <mergeCell ref="A3:H3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2026-03-29T10:34:26Z</dcterms:created>
  <dcterms:modified xmlns:dcterms="http://purl.org/dc/terms/" xmlns:xsi="http://www.w3.org/2001/XMLSchema-instance" xsi:type="dcterms:W3CDTF">2026-03-29T10:34:26Z</dcterms:modified>
</cp:coreProperties>
</file>