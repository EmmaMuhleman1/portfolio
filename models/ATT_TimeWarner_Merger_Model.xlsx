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Acquirer Financials" sheetId="2" state="visible" r:id="rId2"/>
    <sheet xmlns:r="http://schemas.openxmlformats.org/officeDocument/2006/relationships" name="Target Financials" sheetId="3" state="visible" r:id="rId3"/>
    <sheet xmlns:r="http://schemas.openxmlformats.org/officeDocument/2006/relationships" name="Transaction Assumptions" sheetId="4" state="visible" r:id="rId4"/>
    <sheet xmlns:r="http://schemas.openxmlformats.org/officeDocument/2006/relationships" name="Pro Forma Combined" sheetId="5" state="visible" r:id="rId5"/>
    <sheet xmlns:r="http://schemas.openxmlformats.org/officeDocument/2006/relationships" name="Accretion_Dilution" sheetId="6" state="visible" r:id="rId6"/>
    <sheet xmlns:r="http://schemas.openxmlformats.org/officeDocument/2006/relationships" name="Football Fie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$#,##0"/>
    <numFmt numFmtId="166" formatCode="0.000"/>
    <numFmt numFmtId="167" formatCode="0.0%"/>
    <numFmt numFmtId="168" formatCode="0.0x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1"/>
    </font>
    <font>
      <name val="Arial"/>
      <color rgb="00000000"/>
      <sz val="11"/>
    </font>
    <font>
      <name val="Arial"/>
      <sz val="10"/>
    </font>
    <font>
      <name val="Arial"/>
      <color rgb="00FF0000"/>
      <sz val="11"/>
    </font>
    <font>
      <name val="Arial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000080"/>
        <bgColor rgb="00000080"/>
      </patternFill>
    </fill>
    <fill>
      <patternFill patternType="solid">
        <fgColor rgb="00ADD8E6"/>
        <bgColor rgb="00ADD8E6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5" fontId="3" fillId="0" borderId="0" pivotButton="0" quotePrefix="0" xfId="0"/>
    <xf numFmtId="165" fontId="2" fillId="0" borderId="0" pivotButton="0" quotePrefix="0" xfId="0"/>
    <xf numFmtId="164" fontId="3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3" fontId="3" fillId="0" borderId="0" pivotButton="0" quotePrefix="0" xfId="0"/>
    <xf numFmtId="167" fontId="3" fillId="0" borderId="0" pivotButton="0" quotePrefix="0" xfId="0"/>
    <xf numFmtId="0" fontId="1" fillId="3" borderId="0" applyAlignment="1" pivotButton="0" quotePrefix="0" xfId="0">
      <alignment horizontal="center"/>
    </xf>
    <xf numFmtId="0" fontId="1" fillId="3" borderId="0" pivotButton="0" quotePrefix="0" xfId="0"/>
    <xf numFmtId="167" fontId="5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68" fontId="2" fillId="0" borderId="0" pivotButton="0" quotePrefix="0" xfId="0"/>
    <xf numFmtId="168" fontId="3" fillId="0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AT&amp;T ACQUISITION OF TIME WARNER</t>
        </is>
      </c>
    </row>
    <row r="3">
      <c r="A3" s="1" t="inlineStr">
        <is>
          <t>TRANSACTION SUMMARY</t>
        </is>
      </c>
    </row>
    <row r="4">
      <c r="A4" t="inlineStr">
        <is>
          <t>Announcement Date</t>
        </is>
      </c>
      <c r="B4" s="2" t="inlineStr">
        <is>
          <t>10/22/2016</t>
        </is>
      </c>
    </row>
    <row r="5">
      <c r="A5" t="inlineStr">
        <is>
          <t>Closing Date</t>
        </is>
      </c>
      <c r="B5" s="2" t="inlineStr">
        <is>
          <t>6/14/2018</t>
        </is>
      </c>
    </row>
    <row r="6">
      <c r="A6" t="inlineStr">
        <is>
          <t>Target Company</t>
        </is>
      </c>
      <c r="B6" s="2" t="inlineStr">
        <is>
          <t>Time Warner Inc.</t>
        </is>
      </c>
    </row>
    <row r="7">
      <c r="A7" t="inlineStr">
        <is>
          <t>Acquirer</t>
        </is>
      </c>
      <c r="B7" s="2" t="inlineStr">
        <is>
          <t>AT&amp;T Inc.</t>
        </is>
      </c>
    </row>
    <row r="9">
      <c r="A9" s="1" t="inlineStr">
        <is>
          <t>DEAL VALUATION</t>
        </is>
      </c>
    </row>
    <row r="10">
      <c r="A10" t="inlineStr">
        <is>
          <t>Offer Price per Share</t>
        </is>
      </c>
      <c r="B10" s="3" t="n">
        <v>107.5</v>
      </c>
    </row>
    <row r="11">
      <c r="A11" t="inlineStr">
        <is>
          <t>Target Shares Outstanding (mm)</t>
        </is>
      </c>
      <c r="B11" s="4" t="n">
        <v>790</v>
      </c>
    </row>
    <row r="12">
      <c r="A12" t="inlineStr">
        <is>
          <t>Equity Value (mm)</t>
        </is>
      </c>
      <c r="B12" s="5">
        <f>B10*B11</f>
        <v/>
      </c>
    </row>
    <row r="13">
      <c r="A13" t="inlineStr">
        <is>
          <t>Target Net Debt (mm)</t>
        </is>
      </c>
      <c r="B13" s="6" t="n">
        <v>22300</v>
      </c>
    </row>
    <row r="14">
      <c r="A14" t="inlineStr">
        <is>
          <t>Enterprise Value (mm)</t>
        </is>
      </c>
      <c r="B14" s="5">
        <f>B12+B13</f>
        <v/>
      </c>
    </row>
    <row r="16">
      <c r="A16" s="1" t="inlineStr">
        <is>
          <t>DEAL STRUCTURE</t>
        </is>
      </c>
    </row>
    <row r="17">
      <c r="A17" t="inlineStr">
        <is>
          <t>Cash Consideration per Share</t>
        </is>
      </c>
      <c r="B17" s="7">
        <f>B10*0.5</f>
        <v/>
      </c>
    </row>
    <row r="18">
      <c r="A18" t="inlineStr">
        <is>
          <t>Stock Consideration per Share</t>
        </is>
      </c>
      <c r="B18" s="7">
        <f>B10*0.5</f>
        <v/>
      </c>
    </row>
    <row r="19">
      <c r="A19" t="inlineStr">
        <is>
          <t>AT&amp;T Shares Exchanged</t>
        </is>
      </c>
      <c r="B19" s="8" t="n">
        <v>1.437</v>
      </c>
    </row>
    <row r="20">
      <c r="A20" t="inlineStr">
        <is>
          <t>Total Cash Required (mm)</t>
        </is>
      </c>
      <c r="B20" s="5">
        <f>B10*0.5*B11</f>
        <v/>
      </c>
    </row>
    <row r="21">
      <c r="A21" t="inlineStr">
        <is>
          <t>New Debt Issued (mm)</t>
        </is>
      </c>
      <c r="B21" s="6" t="n">
        <v>40000</v>
      </c>
    </row>
    <row r="23">
      <c r="A23" s="1" t="inlineStr">
        <is>
          <t>KEY ASSUMPTIONS</t>
        </is>
      </c>
    </row>
    <row r="24">
      <c r="A24" t="inlineStr">
        <is>
          <t>Interest Rate on New Debt</t>
        </is>
      </c>
      <c r="B24" s="9" t="n">
        <v>0.045</v>
      </c>
    </row>
    <row r="25">
      <c r="A25" t="inlineStr">
        <is>
          <t>Expected Synergies (Year 3) (mm)</t>
        </is>
      </c>
      <c r="B25" s="6" t="n">
        <v>1500</v>
      </c>
    </row>
    <row r="26">
      <c r="A26" t="inlineStr">
        <is>
          <t>Restructuring Charges (mm)</t>
        </is>
      </c>
      <c r="B26" s="6" t="n">
        <v>2000</v>
      </c>
    </row>
    <row r="27">
      <c r="A27" t="inlineStr">
        <is>
          <t>Transaction Fees (mm)</t>
        </is>
      </c>
      <c r="B27" s="6" t="n">
        <v>500</v>
      </c>
    </row>
    <row r="29">
      <c r="A29" s="1" t="inlineStr">
        <is>
          <t>STRATEGIC RATIONALE</t>
        </is>
      </c>
    </row>
    <row r="30" ht="20" customHeight="1">
      <c r="A30" s="10" t="inlineStr">
        <is>
          <t>• Vertical integration: Content plus Distribution</t>
        </is>
      </c>
    </row>
    <row r="31" ht="20" customHeight="1">
      <c r="A31" s="10" t="inlineStr">
        <is>
          <t>• Enhanced portfolio in media and entertainment</t>
        </is>
      </c>
    </row>
    <row r="32" ht="20" customHeight="1">
      <c r="A32" s="10" t="inlineStr">
        <is>
          <t>• Access to premium content (HBO, CNN, Warner Bros)</t>
        </is>
      </c>
    </row>
    <row r="33" ht="20" customHeight="1">
      <c r="A33" s="10" t="inlineStr">
        <is>
          <t>• Improve video growth and ARPU</t>
        </is>
      </c>
    </row>
    <row r="34" ht="20" customHeight="1">
      <c r="A34" s="10" t="inlineStr">
        <is>
          <t>• Leverage AT&amp;T scale and distribution</t>
        </is>
      </c>
    </row>
    <row r="35" ht="20" customHeight="1">
      <c r="A35" s="10" t="inlineStr">
        <is>
          <t>• Cross-selling opportunities</t>
        </is>
      </c>
    </row>
    <row r="36" ht="20" customHeight="1">
      <c r="A36" s="10" t="inlineStr">
        <is>
          <t>• Long-term value creation through synergies</t>
        </is>
      </c>
    </row>
  </sheetData>
  <mergeCells count="6">
    <mergeCell ref="A16:B16"/>
    <mergeCell ref="A29:B29"/>
    <mergeCell ref="A1:B1"/>
    <mergeCell ref="A23:B23"/>
    <mergeCell ref="A9:B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AT&amp;T INC. - HISTORICAL FINANCIALS</t>
        </is>
      </c>
    </row>
    <row r="3">
      <c r="A3" t="inlineStr"/>
      <c r="B3" s="11" t="inlineStr">
        <is>
          <t>2015</t>
        </is>
      </c>
      <c r="C3" s="11" t="inlineStr">
        <is>
          <t>2016</t>
        </is>
      </c>
      <c r="D3" s="11" t="inlineStr">
        <is>
          <t>2017</t>
        </is>
      </c>
    </row>
    <row r="4">
      <c r="A4" t="inlineStr">
        <is>
          <t>Revenue</t>
        </is>
      </c>
      <c r="B4" s="4" t="n">
        <v>146800</v>
      </c>
      <c r="C4" s="4" t="n">
        <v>163800</v>
      </c>
      <c r="D4" s="4" t="n">
        <v>160500</v>
      </c>
    </row>
    <row r="5">
      <c r="A5" t="inlineStr">
        <is>
          <t>Operating Expenses</t>
        </is>
      </c>
      <c r="B5" s="4" t="n">
        <v>100000</v>
      </c>
      <c r="C5" s="4" t="n">
        <v>114500</v>
      </c>
      <c r="D5" s="4" t="n">
        <v>111000</v>
      </c>
    </row>
    <row r="6">
      <c r="A6" t="inlineStr">
        <is>
          <t>EBITDA</t>
        </is>
      </c>
      <c r="B6" s="12">
        <f>B4-B5</f>
        <v/>
      </c>
      <c r="C6" s="12">
        <f>C4-C5</f>
        <v/>
      </c>
      <c r="D6" s="12">
        <f>D4-D5</f>
        <v/>
      </c>
    </row>
    <row r="7">
      <c r="A7" t="inlineStr">
        <is>
          <t>Depreciation and Amortization</t>
        </is>
      </c>
      <c r="B7" s="4" t="n">
        <v>18000</v>
      </c>
      <c r="C7" s="4" t="n">
        <v>19200</v>
      </c>
      <c r="D7" s="4" t="n">
        <v>19400</v>
      </c>
    </row>
    <row r="8">
      <c r="A8" t="inlineStr">
        <is>
          <t>EBIT</t>
        </is>
      </c>
      <c r="B8" s="12">
        <f>B6-B7</f>
        <v/>
      </c>
      <c r="C8" s="12">
        <f>C6-C7</f>
        <v/>
      </c>
      <c r="D8" s="12">
        <f>D6-D7</f>
        <v/>
      </c>
    </row>
    <row r="9">
      <c r="A9" t="inlineStr">
        <is>
          <t>Interest Expense</t>
        </is>
      </c>
      <c r="B9" s="4" t="n">
        <v>3200</v>
      </c>
      <c r="C9" s="4" t="n">
        <v>3500</v>
      </c>
      <c r="D9" s="4" t="n">
        <v>3800</v>
      </c>
    </row>
    <row r="10">
      <c r="A10" t="inlineStr">
        <is>
          <t>Pretax Income</t>
        </is>
      </c>
      <c r="B10" s="12">
        <f>B8-B9</f>
        <v/>
      </c>
      <c r="C10" s="12">
        <f>C8-C9</f>
        <v/>
      </c>
      <c r="D10" s="12">
        <f>D8-D9</f>
        <v/>
      </c>
    </row>
    <row r="11">
      <c r="A11" t="inlineStr">
        <is>
          <t>Taxes (35%)</t>
        </is>
      </c>
      <c r="B11" s="12">
        <f>B10*0.35</f>
        <v/>
      </c>
      <c r="C11" s="12">
        <f>C10*0.35</f>
        <v/>
      </c>
      <c r="D11" s="12">
        <f>D10*0.35</f>
        <v/>
      </c>
    </row>
    <row r="12">
      <c r="A12" t="inlineStr">
        <is>
          <t>Net Income</t>
        </is>
      </c>
      <c r="B12" s="12">
        <f>B10-B11</f>
        <v/>
      </c>
      <c r="C12" s="12">
        <f>C10-C11</f>
        <v/>
      </c>
      <c r="D12" s="12">
        <f>D10-D11</f>
        <v/>
      </c>
    </row>
    <row r="14">
      <c r="A14" t="inlineStr">
        <is>
          <t>Shares Outstanding (mm)</t>
        </is>
      </c>
      <c r="B14" s="4" t="n">
        <v>6100</v>
      </c>
      <c r="C14" s="4" t="n">
        <v>6050</v>
      </c>
      <c r="D14" s="4" t="n">
        <v>6000</v>
      </c>
    </row>
    <row r="15">
      <c r="A15" t="inlineStr">
        <is>
          <t>EPS</t>
        </is>
      </c>
      <c r="B15" s="7">
        <f>B12/B14</f>
        <v/>
      </c>
      <c r="C15" s="7">
        <f>C12/C14</f>
        <v/>
      </c>
      <c r="D15" s="7">
        <f>D12/D14</f>
        <v/>
      </c>
    </row>
    <row r="17">
      <c r="A17" s="1" t="inlineStr">
        <is>
          <t>DEBT SUMMARY</t>
        </is>
      </c>
    </row>
    <row r="18">
      <c r="A18" t="inlineStr">
        <is>
          <t>Total Debt (mm)</t>
        </is>
      </c>
      <c r="B18" s="4" t="n">
        <v>190000</v>
      </c>
    </row>
    <row r="19">
      <c r="A19" t="inlineStr">
        <is>
          <t>Cash and Equivalents (mm)</t>
        </is>
      </c>
      <c r="B19" s="4" t="n">
        <v>4300</v>
      </c>
    </row>
    <row r="20">
      <c r="A20" t="inlineStr">
        <is>
          <t>Net Debt (mm)</t>
        </is>
      </c>
      <c r="B20" s="12">
        <f>B18-B19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TIME WARNER INC. - HISTORICAL FINANCIALS</t>
        </is>
      </c>
    </row>
    <row r="3">
      <c r="A3" t="inlineStr"/>
      <c r="B3" s="11" t="inlineStr">
        <is>
          <t>2015</t>
        </is>
      </c>
      <c r="C3" s="11" t="inlineStr">
        <is>
          <t>2016</t>
        </is>
      </c>
      <c r="D3" s="11" t="inlineStr">
        <is>
          <t>2017</t>
        </is>
      </c>
    </row>
    <row r="4">
      <c r="A4" t="inlineStr">
        <is>
          <t>Revenue</t>
        </is>
      </c>
      <c r="B4" s="4" t="n">
        <v>28100</v>
      </c>
      <c r="C4" s="4" t="n">
        <v>29300</v>
      </c>
      <c r="D4" s="4" t="n">
        <v>31300</v>
      </c>
    </row>
    <row r="5">
      <c r="A5" t="inlineStr">
        <is>
          <t>Operating Expenses</t>
        </is>
      </c>
      <c r="B5" s="4" t="n">
        <v>19800</v>
      </c>
      <c r="C5" s="4" t="n">
        <v>20600</v>
      </c>
      <c r="D5" s="4" t="n">
        <v>22100</v>
      </c>
    </row>
    <row r="6">
      <c r="A6" t="inlineStr">
        <is>
          <t>EBITDA</t>
        </is>
      </c>
      <c r="B6" s="12">
        <f>B4-B5</f>
        <v/>
      </c>
      <c r="C6" s="12">
        <f>C4-C5</f>
        <v/>
      </c>
      <c r="D6" s="12">
        <f>D4-D5</f>
        <v/>
      </c>
    </row>
    <row r="7">
      <c r="A7" t="inlineStr">
        <is>
          <t>Depreciation and Amortization</t>
        </is>
      </c>
      <c r="B7" s="4" t="n">
        <v>2200</v>
      </c>
      <c r="C7" s="4" t="n">
        <v>2300</v>
      </c>
      <c r="D7" s="4" t="n">
        <v>2400</v>
      </c>
    </row>
    <row r="8">
      <c r="A8" t="inlineStr">
        <is>
          <t>EBIT</t>
        </is>
      </c>
      <c r="B8" s="12">
        <f>B6-B7</f>
        <v/>
      </c>
      <c r="C8" s="12">
        <f>C6-C7</f>
        <v/>
      </c>
      <c r="D8" s="12">
        <f>D6-D7</f>
        <v/>
      </c>
    </row>
    <row r="9">
      <c r="A9" t="inlineStr">
        <is>
          <t>Interest Expense</t>
        </is>
      </c>
      <c r="B9" s="4" t="n">
        <v>950</v>
      </c>
      <c r="C9" s="4" t="n">
        <v>1000</v>
      </c>
      <c r="D9" s="4" t="n">
        <v>1050</v>
      </c>
    </row>
    <row r="10">
      <c r="A10" t="inlineStr">
        <is>
          <t>Pretax Income</t>
        </is>
      </c>
      <c r="B10" s="12">
        <f>B8-B9</f>
        <v/>
      </c>
      <c r="C10" s="12">
        <f>C8-C9</f>
        <v/>
      </c>
      <c r="D10" s="12">
        <f>D8-D9</f>
        <v/>
      </c>
    </row>
    <row r="11">
      <c r="A11" t="inlineStr">
        <is>
          <t>Taxes (35%)</t>
        </is>
      </c>
      <c r="B11" s="12">
        <f>B10*0.35</f>
        <v/>
      </c>
      <c r="C11" s="12">
        <f>C10*0.35</f>
        <v/>
      </c>
      <c r="D11" s="12">
        <f>D10*0.35</f>
        <v/>
      </c>
    </row>
    <row r="12">
      <c r="A12" t="inlineStr">
        <is>
          <t>Net Income</t>
        </is>
      </c>
      <c r="B12" s="12">
        <f>B10-B11</f>
        <v/>
      </c>
      <c r="C12" s="12">
        <f>C10-C11</f>
        <v/>
      </c>
      <c r="D12" s="12">
        <f>D10-D11</f>
        <v/>
      </c>
    </row>
    <row r="14">
      <c r="A14" t="inlineStr">
        <is>
          <t>Shares Outstanding (mm)</t>
        </is>
      </c>
      <c r="B14" s="4" t="n">
        <v>790</v>
      </c>
      <c r="C14" s="4" t="n">
        <v>790</v>
      </c>
      <c r="D14" s="4" t="n">
        <v>790</v>
      </c>
    </row>
    <row r="15">
      <c r="A15" t="inlineStr">
        <is>
          <t>EPS</t>
        </is>
      </c>
      <c r="B15" s="7">
        <f>B12/B14</f>
        <v/>
      </c>
      <c r="C15" s="7">
        <f>C12/C14</f>
        <v/>
      </c>
      <c r="D15" s="7">
        <f>D12/D14</f>
        <v/>
      </c>
    </row>
    <row r="17">
      <c r="A17" s="1" t="inlineStr">
        <is>
          <t>DEBT SUMMARY</t>
        </is>
      </c>
    </row>
    <row r="18">
      <c r="A18" t="inlineStr">
        <is>
          <t>Total Debt (mm)</t>
        </is>
      </c>
      <c r="B18" s="4" t="n">
        <v>22300</v>
      </c>
    </row>
    <row r="19">
      <c r="A19" t="inlineStr">
        <is>
          <t>Cash and Equivalents (mm)</t>
        </is>
      </c>
      <c r="B19" s="4" t="n">
        <v>1500</v>
      </c>
    </row>
    <row r="20">
      <c r="A20" t="inlineStr">
        <is>
          <t>Net Debt (mm)</t>
        </is>
      </c>
      <c r="B20" s="12">
        <f>B18-B19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TRANSACTION ASSUMPTIONS</t>
        </is>
      </c>
    </row>
    <row r="3">
      <c r="A3" s="1" t="inlineStr">
        <is>
          <t>PRICING AND STRUCTURE</t>
        </is>
      </c>
    </row>
    <row r="4">
      <c r="A4" t="inlineStr">
        <is>
          <t>Offer Price per Share</t>
        </is>
      </c>
      <c r="B4" s="3" t="n">
        <v>107.5</v>
      </c>
    </row>
    <row r="5">
      <c r="A5" t="inlineStr">
        <is>
          <t>Target Shares Outstanding (mm)</t>
        </is>
      </c>
      <c r="B5" s="4" t="n">
        <v>790</v>
      </c>
    </row>
    <row r="6">
      <c r="A6" t="inlineStr">
        <is>
          <t>Equity Value (mm)</t>
        </is>
      </c>
      <c r="B6" s="5">
        <f>B4*B5</f>
        <v/>
      </c>
    </row>
    <row r="7">
      <c r="A7" t="inlineStr">
        <is>
          <t>Cash per Share</t>
        </is>
      </c>
      <c r="B7" s="7">
        <f>B4*0.5</f>
        <v/>
      </c>
    </row>
    <row r="8">
      <c r="A8" t="inlineStr">
        <is>
          <t>Stock per Share (AT&amp;T shares)</t>
        </is>
      </c>
      <c r="B8" s="8" t="n">
        <v>1.437</v>
      </c>
    </row>
    <row r="9">
      <c r="A9" t="inlineStr">
        <is>
          <t>Stock Value per Share</t>
        </is>
      </c>
      <c r="B9" s="7">
        <f>B4*0.5</f>
        <v/>
      </c>
    </row>
    <row r="11">
      <c r="A11" s="1" t="inlineStr">
        <is>
          <t>FINANCING</t>
        </is>
      </c>
    </row>
    <row r="12">
      <c r="A12" t="inlineStr">
        <is>
          <t>Total Cash Required (mm)</t>
        </is>
      </c>
      <c r="B12" s="5">
        <f>B7*B5</f>
        <v/>
      </c>
    </row>
    <row r="13">
      <c r="A13" t="inlineStr">
        <is>
          <t>Less: Cash on Hand (mm)</t>
        </is>
      </c>
      <c r="B13" s="6" t="n">
        <v>4300</v>
      </c>
    </row>
    <row r="14">
      <c r="A14" t="inlineStr">
        <is>
          <t>New Debt to Issue (mm)</t>
        </is>
      </c>
      <c r="B14" s="5">
        <f>B12-B13</f>
        <v/>
      </c>
    </row>
    <row r="15">
      <c r="A15" t="inlineStr">
        <is>
          <t>Interest Rate on New Debt</t>
        </is>
      </c>
      <c r="B15" s="9" t="n">
        <v>0.045</v>
      </c>
    </row>
    <row r="16">
      <c r="A16" t="inlineStr">
        <is>
          <t>Annual Interest Expense (mm)</t>
        </is>
      </c>
      <c r="B16" s="5">
        <f>B14*B15</f>
        <v/>
      </c>
    </row>
    <row r="18">
      <c r="A18" s="1" t="inlineStr">
        <is>
          <t>TRANSACTION COSTS</t>
        </is>
      </c>
    </row>
    <row r="19">
      <c r="A19" t="inlineStr">
        <is>
          <t>Transaction Fees (mm)</t>
        </is>
      </c>
      <c r="B19" s="6" t="n">
        <v>500</v>
      </c>
    </row>
    <row r="20">
      <c r="A20" t="inlineStr">
        <is>
          <t>Restructuring Charges (mm)</t>
        </is>
      </c>
      <c r="B20" s="6" t="n">
        <v>2000</v>
      </c>
    </row>
    <row r="21">
      <c r="A21" t="inlineStr">
        <is>
          <t>Total One-Time Costs (mm)</t>
        </is>
      </c>
      <c r="B21" s="5">
        <f>B19+B20</f>
        <v/>
      </c>
    </row>
    <row r="23">
      <c r="A23" s="1" t="inlineStr">
        <is>
          <t>SYNERGY ASSUMPTIONS</t>
        </is>
      </c>
    </row>
    <row r="24">
      <c r="A24" t="inlineStr">
        <is>
          <t>Year 1 Synergies (pct of Total)</t>
        </is>
      </c>
      <c r="B24" s="9" t="n">
        <v>0.33</v>
      </c>
    </row>
    <row r="25">
      <c r="A25" t="inlineStr">
        <is>
          <t>Year 2 Synergies (pct of Total)</t>
        </is>
      </c>
      <c r="B25" s="9" t="n">
        <v>0.67</v>
      </c>
    </row>
    <row r="26">
      <c r="A26" t="inlineStr">
        <is>
          <t>Year 3+ Synergies (pct of Total)</t>
        </is>
      </c>
      <c r="B26" s="9" t="n">
        <v>1</v>
      </c>
    </row>
    <row r="27">
      <c r="A27" t="inlineStr">
        <is>
          <t>Total Run-Rate Synergies (mm)</t>
        </is>
      </c>
      <c r="B27" s="6" t="n">
        <v>1500</v>
      </c>
    </row>
    <row r="29">
      <c r="A29" s="1" t="inlineStr">
        <is>
          <t>PURCHASE PRICE ALLOCATION</t>
        </is>
      </c>
    </row>
    <row r="30">
      <c r="A30" t="inlineStr">
        <is>
          <t>Equity Value (mm)</t>
        </is>
      </c>
      <c r="B30" s="5">
        <f>B6</f>
        <v/>
      </c>
    </row>
    <row r="31">
      <c r="A31" t="inlineStr">
        <is>
          <t>Plus: Net Debt Assumed (mm)</t>
        </is>
      </c>
      <c r="B31" s="6" t="n">
        <v>22300</v>
      </c>
    </row>
    <row r="32">
      <c r="A32" t="inlineStr">
        <is>
          <t>Enterprise Value (mm)</t>
        </is>
      </c>
      <c r="B32" s="5">
        <f>B30+B31</f>
        <v/>
      </c>
    </row>
    <row r="33">
      <c r="A33" t="inlineStr">
        <is>
          <t>Less: Fair Value of Net Assets</t>
        </is>
      </c>
      <c r="B33" s="6" t="n">
        <v>12000</v>
      </c>
    </row>
    <row r="34">
      <c r="A34" t="inlineStr">
        <is>
          <t>Goodwill (mm)</t>
        </is>
      </c>
      <c r="B34" s="5">
        <f>B32-B33</f>
        <v/>
      </c>
    </row>
  </sheetData>
  <mergeCells count="6">
    <mergeCell ref="A29:B29"/>
    <mergeCell ref="A11:B11"/>
    <mergeCell ref="A1:B1"/>
    <mergeCell ref="A23:B23"/>
    <mergeCell ref="A18:B18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PRO FORMA COMBINED FINANCIALS</t>
        </is>
      </c>
    </row>
    <row r="3">
      <c r="A3" t="inlineStr"/>
      <c r="B3" s="11" t="inlineStr">
        <is>
          <t>2018E</t>
        </is>
      </c>
      <c r="C3" s="11" t="inlineStr">
        <is>
          <t>2019E</t>
        </is>
      </c>
      <c r="D3" s="11" t="inlineStr">
        <is>
          <t>2020E</t>
        </is>
      </c>
    </row>
    <row r="4">
      <c r="A4" t="inlineStr">
        <is>
          <t>AT&amp;T Revenue</t>
        </is>
      </c>
      <c r="B4" s="4" t="n">
        <v>160500</v>
      </c>
      <c r="C4" s="4" t="n">
        <v>163500</v>
      </c>
      <c r="D4" s="4" t="n">
        <v>166500</v>
      </c>
    </row>
    <row r="5">
      <c r="A5" t="inlineStr">
        <is>
          <t>Time Warner Revenue</t>
        </is>
      </c>
      <c r="B5" s="4" t="n">
        <v>31300</v>
      </c>
      <c r="C5" s="4" t="n">
        <v>32200</v>
      </c>
      <c r="D5" s="4" t="n">
        <v>33100</v>
      </c>
    </row>
    <row r="6">
      <c r="A6" t="inlineStr">
        <is>
          <t>Combined Revenue</t>
        </is>
      </c>
      <c r="B6" s="12">
        <f>B4+B5</f>
        <v/>
      </c>
      <c r="C6" s="12">
        <f>C4+C5</f>
        <v/>
      </c>
      <c r="D6" s="12">
        <f>D4+D5</f>
        <v/>
      </c>
    </row>
    <row r="8">
      <c r="A8" t="inlineStr">
        <is>
          <t>AT&amp;T EBITDA</t>
        </is>
      </c>
      <c r="B8" s="4" t="n">
        <v>50500</v>
      </c>
      <c r="C8" s="4" t="n">
        <v>51500</v>
      </c>
      <c r="D8" s="4" t="n">
        <v>52500</v>
      </c>
    </row>
    <row r="9">
      <c r="A9" t="inlineStr">
        <is>
          <t>Time Warner EBITDA</t>
        </is>
      </c>
      <c r="B9" s="4" t="n">
        <v>8200</v>
      </c>
      <c r="C9" s="4" t="n">
        <v>8400</v>
      </c>
      <c r="D9" s="4" t="n">
        <v>8600</v>
      </c>
    </row>
    <row r="10">
      <c r="A10" t="inlineStr">
        <is>
          <t>Synergies</t>
        </is>
      </c>
      <c r="B10" s="4" t="n">
        <v>500</v>
      </c>
      <c r="C10" s="4" t="n">
        <v>1000</v>
      </c>
      <c r="D10" s="4" t="n">
        <v>1500</v>
      </c>
    </row>
    <row r="11">
      <c r="A11" t="inlineStr">
        <is>
          <t>Combined EBITDA</t>
        </is>
      </c>
      <c r="B11" s="12">
        <f>B8+B9+B10</f>
        <v/>
      </c>
      <c r="C11" s="12">
        <f>C8+C9+C10</f>
        <v/>
      </c>
      <c r="D11" s="12">
        <f>D8+D9+D10</f>
        <v/>
      </c>
    </row>
    <row r="13">
      <c r="A13" t="inlineStr">
        <is>
          <t>Depreciation and Amortization</t>
        </is>
      </c>
      <c r="B13" s="4" t="n">
        <v>21800</v>
      </c>
      <c r="C13" s="4" t="n">
        <v>22000</v>
      </c>
      <c r="D13" s="4" t="n">
        <v>22200</v>
      </c>
    </row>
    <row r="14">
      <c r="A14" t="inlineStr">
        <is>
          <t>EBIT</t>
        </is>
      </c>
      <c r="B14" s="12">
        <f>B11-B13</f>
        <v/>
      </c>
      <c r="C14" s="12">
        <f>C11-C13</f>
        <v/>
      </c>
      <c r="D14" s="12">
        <f>D11-D13</f>
        <v/>
      </c>
    </row>
    <row r="16">
      <c r="A16" t="inlineStr">
        <is>
          <t>AT&amp;T Interest Expense</t>
        </is>
      </c>
      <c r="B16" s="4" t="n">
        <v>3800</v>
      </c>
      <c r="C16" s="4" t="n">
        <v>3800</v>
      </c>
      <c r="D16" s="4" t="n">
        <v>3800</v>
      </c>
    </row>
    <row r="17">
      <c r="A17" t="inlineStr">
        <is>
          <t>Time Warner Interest</t>
        </is>
      </c>
      <c r="B17" s="4" t="n">
        <v>1050</v>
      </c>
      <c r="C17" s="4" t="n">
        <v>1050</v>
      </c>
      <c r="D17" s="4" t="n">
        <v>1050</v>
      </c>
    </row>
    <row r="18">
      <c r="A18" t="inlineStr">
        <is>
          <t>New Debt Interest</t>
        </is>
      </c>
      <c r="B18" s="4" t="n">
        <v>1800</v>
      </c>
      <c r="C18" s="4" t="n">
        <v>1800</v>
      </c>
      <c r="D18" s="4" t="n">
        <v>1800</v>
      </c>
    </row>
    <row r="19">
      <c r="A19" t="inlineStr">
        <is>
          <t>Total Interest</t>
        </is>
      </c>
      <c r="B19" s="12">
        <f>B16+B17+B18</f>
        <v/>
      </c>
      <c r="C19" s="12">
        <f>C16+C17+C18</f>
        <v/>
      </c>
      <c r="D19" s="12">
        <f>D16+D17+D18</f>
        <v/>
      </c>
    </row>
    <row r="21">
      <c r="A21" t="inlineStr">
        <is>
          <t>Pretax Income</t>
        </is>
      </c>
      <c r="B21" s="12">
        <f>B14-B19</f>
        <v/>
      </c>
      <c r="C21" s="12">
        <f>C14-C19</f>
        <v/>
      </c>
      <c r="D21" s="12">
        <f>D14-D19</f>
        <v/>
      </c>
    </row>
    <row r="22">
      <c r="A22" t="inlineStr">
        <is>
          <t>Taxes (35%)</t>
        </is>
      </c>
      <c r="B22" s="12">
        <f>B21*0.35</f>
        <v/>
      </c>
      <c r="C22" s="12">
        <f>C21*0.35</f>
        <v/>
      </c>
      <c r="D22" s="12">
        <f>D21*0.35</f>
        <v/>
      </c>
    </row>
    <row r="23">
      <c r="A23" t="inlineStr">
        <is>
          <t>Net Income</t>
        </is>
      </c>
      <c r="B23" s="12">
        <f>B21-B22</f>
        <v/>
      </c>
      <c r="C23" s="12">
        <f>C21-C22</f>
        <v/>
      </c>
      <c r="D23" s="12">
        <f>D21-D22</f>
        <v/>
      </c>
    </row>
    <row r="25">
      <c r="A25" t="inlineStr">
        <is>
          <t>AT&amp;T Shares Outstanding</t>
        </is>
      </c>
      <c r="B25" s="4" t="n">
        <v>6000</v>
      </c>
      <c r="C25" s="4" t="n">
        <v>6000</v>
      </c>
      <c r="D25" s="4" t="n">
        <v>6000</v>
      </c>
    </row>
    <row r="26">
      <c r="A26" t="inlineStr">
        <is>
          <t>New Shares Issued</t>
        </is>
      </c>
      <c r="B26" s="12">
        <f>790*1.437</f>
        <v/>
      </c>
      <c r="C26" s="12">
        <f>790*1.437</f>
        <v/>
      </c>
      <c r="D26" s="12">
        <f>790*1.437</f>
        <v/>
      </c>
    </row>
    <row r="27">
      <c r="A27" t="inlineStr">
        <is>
          <t>Diluted Shares Outstanding</t>
        </is>
      </c>
      <c r="B27" s="12">
        <f>B25+B26</f>
        <v/>
      </c>
      <c r="C27" s="12">
        <f>C25+C26</f>
        <v/>
      </c>
      <c r="D27" s="12">
        <f>D25+D26</f>
        <v/>
      </c>
    </row>
    <row r="29">
      <c r="A29" t="inlineStr">
        <is>
          <t>Pro Forma EPS</t>
        </is>
      </c>
      <c r="B29" s="7">
        <f>B23/B27</f>
        <v/>
      </c>
      <c r="C29" s="7">
        <f>C23/C27</f>
        <v/>
      </c>
      <c r="D29" s="7">
        <f>D23/D27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ACCRETION DILUTION ANALYSIS</t>
        </is>
      </c>
    </row>
    <row r="3">
      <c r="A3" t="inlineStr"/>
      <c r="B3" s="11" t="inlineStr">
        <is>
          <t>2018E</t>
        </is>
      </c>
      <c r="C3" s="11" t="inlineStr">
        <is>
          <t>2019E</t>
        </is>
      </c>
      <c r="D3" s="11" t="inlineStr">
        <is>
          <t>2020E</t>
        </is>
      </c>
    </row>
    <row r="4">
      <c r="A4" t="inlineStr">
        <is>
          <t>AT&amp;T Standalone EPS</t>
        </is>
      </c>
      <c r="B4" s="3" t="n">
        <v>2.45</v>
      </c>
      <c r="C4" s="3" t="n">
        <v>2.55</v>
      </c>
      <c r="D4" s="3" t="n">
        <v>2.65</v>
      </c>
    </row>
    <row r="5">
      <c r="A5" t="inlineStr">
        <is>
          <t>Pro Forma EPS</t>
        </is>
      </c>
      <c r="B5" s="7">
        <f>'Pro Forma Combined'!B29</f>
        <v/>
      </c>
      <c r="C5" s="7">
        <f>'Pro Forma Combined'!C29</f>
        <v/>
      </c>
      <c r="D5" s="7">
        <f>'Pro Forma Combined'!D29</f>
        <v/>
      </c>
    </row>
    <row r="7">
      <c r="A7" t="inlineStr">
        <is>
          <t>Accretion (Dilution) - Dollar</t>
        </is>
      </c>
      <c r="B7" s="7">
        <f>B5-B4</f>
        <v/>
      </c>
      <c r="C7" s="7">
        <f>C5-C4</f>
        <v/>
      </c>
      <c r="D7" s="7">
        <f>D5-D4</f>
        <v/>
      </c>
    </row>
    <row r="8">
      <c r="A8" t="inlineStr">
        <is>
          <t>Accretion (Dilution) - Percent</t>
        </is>
      </c>
      <c r="B8" s="13">
        <f>B7/B4</f>
        <v/>
      </c>
      <c r="C8" s="13">
        <f>C7/C4</f>
        <v/>
      </c>
      <c r="D8" s="13">
        <f>D7/D4</f>
        <v/>
      </c>
    </row>
    <row r="11">
      <c r="A11" s="1" t="inlineStr">
        <is>
          <t>SENSITIVITY: ACCRETION (DILUTION) %</t>
        </is>
      </c>
    </row>
    <row r="13">
      <c r="A13" s="14" t="inlineStr"/>
      <c r="B13" s="14" t="inlineStr">
        <is>
          <t>$0B</t>
        </is>
      </c>
      <c r="C13" s="14" t="inlineStr">
        <is>
          <t>$1B</t>
        </is>
      </c>
      <c r="D13" s="14" t="inlineStr">
        <is>
          <t>$1.5B</t>
        </is>
      </c>
      <c r="E13" s="14" t="inlineStr">
        <is>
          <t>$2B</t>
        </is>
      </c>
      <c r="F13" s="14" t="inlineStr">
        <is>
          <t>$3B</t>
        </is>
      </c>
    </row>
    <row r="14">
      <c r="A14" s="15" t="inlineStr">
        <is>
          <t>3.5% CoD</t>
        </is>
      </c>
      <c r="B14" s="16" t="n">
        <v>-0.8750000000000001</v>
      </c>
      <c r="C14" s="16" t="n">
        <v>-0.2500000000000002</v>
      </c>
      <c r="D14" s="17" t="n">
        <v>0.06249999999999986</v>
      </c>
      <c r="E14" s="17" t="n">
        <v>0.3749999999999998</v>
      </c>
      <c r="F14" s="17" t="n">
        <v>0.9999999999999999</v>
      </c>
    </row>
    <row r="15">
      <c r="A15" s="15" t="inlineStr">
        <is>
          <t>4.0% CoD</t>
        </is>
      </c>
      <c r="B15" s="16" t="n">
        <v>-1</v>
      </c>
      <c r="C15" s="16" t="n">
        <v>-0.375</v>
      </c>
      <c r="D15" s="16" t="n">
        <v>-0.0625</v>
      </c>
      <c r="E15" s="17" t="n">
        <v>0.25</v>
      </c>
      <c r="F15" s="17" t="n">
        <v>0.875</v>
      </c>
    </row>
    <row r="16">
      <c r="A16" s="15" t="inlineStr">
        <is>
          <t>4.5% CoD</t>
        </is>
      </c>
      <c r="B16" s="16" t="n">
        <v>-1.125</v>
      </c>
      <c r="C16" s="16" t="n">
        <v>-0.5</v>
      </c>
      <c r="D16" s="16" t="n">
        <v>-0.1875</v>
      </c>
      <c r="E16" s="17" t="n">
        <v>0.125</v>
      </c>
      <c r="F16" s="17" t="n">
        <v>0.75</v>
      </c>
    </row>
    <row r="17">
      <c r="A17" s="15" t="inlineStr">
        <is>
          <t>5.0% CoD</t>
        </is>
      </c>
      <c r="B17" s="16" t="n">
        <v>-1.25</v>
      </c>
      <c r="C17" s="16" t="n">
        <v>-0.625</v>
      </c>
      <c r="D17" s="16" t="n">
        <v>-0.3125</v>
      </c>
      <c r="E17" s="17" t="n">
        <v>0</v>
      </c>
      <c r="F17" s="17" t="n">
        <v>0.625</v>
      </c>
    </row>
    <row r="18">
      <c r="A18" s="15" t="inlineStr">
        <is>
          <t>5.5% CoD</t>
        </is>
      </c>
      <c r="B18" s="16" t="n">
        <v>-1.375</v>
      </c>
      <c r="C18" s="16" t="n">
        <v>-0.75</v>
      </c>
      <c r="D18" s="16" t="n">
        <v>-0.4375</v>
      </c>
      <c r="E18" s="16" t="n">
        <v>-0.125</v>
      </c>
      <c r="F18" s="17" t="n">
        <v>0.5</v>
      </c>
    </row>
    <row r="20">
      <c r="A20" s="1" t="inlineStr">
        <is>
          <t>NET DEBT EBITDA IMPACT</t>
        </is>
      </c>
    </row>
    <row r="21">
      <c r="A21" t="inlineStr">
        <is>
          <t>Current AT&amp;T Net Debt to EBITDA</t>
        </is>
      </c>
      <c r="B21" s="18" t="n">
        <v>2.8</v>
      </c>
    </row>
    <row r="22">
      <c r="A22" t="inlineStr">
        <is>
          <t>Pro Forma Net Debt (mm)</t>
        </is>
      </c>
      <c r="B22" s="5">
        <f>190000+40000-4300-1500</f>
        <v/>
      </c>
    </row>
    <row r="23">
      <c r="A23" t="inlineStr">
        <is>
          <t>Pro Forma EBITDA (2018E)</t>
        </is>
      </c>
      <c r="B23" s="5">
        <f>'Pro Forma Combined'!B11</f>
        <v/>
      </c>
    </row>
    <row r="24">
      <c r="A24" t="inlineStr">
        <is>
          <t>Pro Forma Net Debt to EBITDA</t>
        </is>
      </c>
      <c r="B24" s="19">
        <f>B22/B23</f>
        <v/>
      </c>
    </row>
  </sheetData>
  <mergeCells count="2">
    <mergeCell ref="A1:D1"/>
    <mergeCell ref="A20:D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1" t="inlineStr">
        <is>
          <t>TIME WARNER VALUATION ANALYSIS</t>
        </is>
      </c>
    </row>
    <row r="3">
      <c r="A3" s="1" t="inlineStr">
        <is>
          <t>VALUATION MULTIPLES</t>
        </is>
      </c>
    </row>
    <row r="4">
      <c r="A4" t="inlineStr">
        <is>
          <t>52-Week Trading Range</t>
        </is>
      </c>
      <c r="B4" t="inlineStr">
        <is>
          <t>Low</t>
        </is>
      </c>
      <c r="C4" t="inlineStr">
        <is>
          <t>High</t>
        </is>
      </c>
    </row>
    <row r="5">
      <c r="A5" t="inlineStr">
        <is>
          <t>Price per Share</t>
        </is>
      </c>
      <c r="B5" s="3" t="n">
        <v>75</v>
      </c>
      <c r="C5" s="3" t="n">
        <v>95</v>
      </c>
    </row>
    <row r="6">
      <c r="A6" t="inlineStr">
        <is>
          <t>Equity Value (mm)</t>
        </is>
      </c>
      <c r="B6" s="5">
        <f>B5*790</f>
        <v/>
      </c>
      <c r="C6" s="5">
        <f>C5*790</f>
        <v/>
      </c>
    </row>
    <row r="8">
      <c r="A8" t="inlineStr">
        <is>
          <t>Analyst Price Targets</t>
        </is>
      </c>
      <c r="B8" t="inlineStr">
        <is>
          <t>Low</t>
        </is>
      </c>
      <c r="C8" t="inlineStr">
        <is>
          <t>High</t>
        </is>
      </c>
    </row>
    <row r="9">
      <c r="A9" t="inlineStr">
        <is>
          <t>Consensus Target</t>
        </is>
      </c>
      <c r="B9" s="3" t="n">
        <v>90</v>
      </c>
      <c r="C9" s="3" t="n">
        <v>110</v>
      </c>
    </row>
    <row r="10">
      <c r="A10" t="inlineStr">
        <is>
          <t>Equity Value (mm)</t>
        </is>
      </c>
      <c r="B10" s="5">
        <f>B9*790</f>
        <v/>
      </c>
      <c r="C10" s="5">
        <f>C9*790</f>
        <v/>
      </c>
    </row>
    <row r="12">
      <c r="A12" t="inlineStr">
        <is>
          <t>EV EBITDA Comparable</t>
        </is>
      </c>
      <c r="B12" t="inlineStr">
        <is>
          <t>Low</t>
        </is>
      </c>
      <c r="C12" t="inlineStr">
        <is>
          <t>High</t>
        </is>
      </c>
    </row>
    <row r="13">
      <c r="A13" t="inlineStr">
        <is>
          <t>EV EBITDA Multiple</t>
        </is>
      </c>
      <c r="B13" s="18" t="n">
        <v>8</v>
      </c>
      <c r="C13" s="18" t="n">
        <v>12</v>
      </c>
    </row>
    <row r="14">
      <c r="A14" t="inlineStr">
        <is>
          <t>2017 EBITDA (mm)</t>
        </is>
      </c>
      <c r="B14" s="6" t="n">
        <v>8200</v>
      </c>
      <c r="C14" s="6" t="n">
        <v>8200</v>
      </c>
    </row>
    <row r="15">
      <c r="A15" t="inlineStr">
        <is>
          <t>Implied Enterprise Value</t>
        </is>
      </c>
      <c r="B15" s="5">
        <f>B13*B14</f>
        <v/>
      </c>
      <c r="C15" s="5">
        <f>C13*C14</f>
        <v/>
      </c>
    </row>
    <row r="16">
      <c r="A16" t="inlineStr">
        <is>
          <t>Less: Net Debt (mm)</t>
        </is>
      </c>
      <c r="B16" s="6" t="n">
        <v>22300</v>
      </c>
      <c r="C16" s="6" t="n">
        <v>22300</v>
      </c>
    </row>
    <row r="17">
      <c r="A17" t="inlineStr">
        <is>
          <t>Equity Value (mm)</t>
        </is>
      </c>
      <c r="B17" s="5">
        <f>B15-B16</f>
        <v/>
      </c>
      <c r="C17" s="5">
        <f>C15-C16</f>
        <v/>
      </c>
    </row>
    <row r="18">
      <c r="A18" t="inlineStr">
        <is>
          <t>Price per Share</t>
        </is>
      </c>
      <c r="B18" s="7">
        <f>B17/790</f>
        <v/>
      </c>
      <c r="C18" s="7">
        <f>C17/790</f>
        <v/>
      </c>
    </row>
    <row r="20">
      <c r="A20" t="inlineStr">
        <is>
          <t>P E Comparable Range</t>
        </is>
      </c>
      <c r="B20" t="inlineStr">
        <is>
          <t>Low</t>
        </is>
      </c>
      <c r="C20" t="inlineStr">
        <is>
          <t>High</t>
        </is>
      </c>
    </row>
    <row r="21">
      <c r="A21" t="inlineStr">
        <is>
          <t>P E Multiple</t>
        </is>
      </c>
      <c r="B21" s="18" t="n">
        <v>14</v>
      </c>
      <c r="C21" s="18" t="n">
        <v>20</v>
      </c>
    </row>
    <row r="22">
      <c r="A22" t="inlineStr">
        <is>
          <t>2017 Net Income (mm)</t>
        </is>
      </c>
      <c r="B22" s="6" t="n">
        <v>4100</v>
      </c>
      <c r="C22" s="6" t="n">
        <v>4100</v>
      </c>
    </row>
    <row r="23">
      <c r="A23" t="inlineStr">
        <is>
          <t>Implied Equity Value</t>
        </is>
      </c>
      <c r="B23" s="5">
        <f>B21*B22</f>
        <v/>
      </c>
      <c r="C23" s="5">
        <f>C21*C22</f>
        <v/>
      </c>
    </row>
    <row r="24">
      <c r="A24" t="inlineStr">
        <is>
          <t>Price per Share</t>
        </is>
      </c>
      <c r="B24" s="7">
        <f>B23/790</f>
        <v/>
      </c>
      <c r="C24" s="7">
        <f>C23/790</f>
        <v/>
      </c>
    </row>
    <row r="26">
      <c r="A26" s="1" t="inlineStr">
        <is>
          <t>VALUATION SUMMARY</t>
        </is>
      </c>
    </row>
    <row r="27">
      <c r="A27" t="inlineStr">
        <is>
          <t>VALUATION METHOD</t>
        </is>
      </c>
      <c r="B27" s="14" t="inlineStr">
        <is>
          <t>LOW</t>
        </is>
      </c>
      <c r="C27" s="14" t="inlineStr">
        <is>
          <t>HIGH</t>
        </is>
      </c>
    </row>
    <row r="28">
      <c r="A28" t="inlineStr">
        <is>
          <t>52-Week Trading Range</t>
        </is>
      </c>
      <c r="B28" s="3">
        <f>B5</f>
        <v/>
      </c>
      <c r="C28" s="3">
        <f>C5</f>
        <v/>
      </c>
    </row>
    <row r="29">
      <c r="A29" t="inlineStr">
        <is>
          <t>Analyst Targets</t>
        </is>
      </c>
      <c r="B29" s="3">
        <f>B9</f>
        <v/>
      </c>
      <c r="C29" s="3">
        <f>C9</f>
        <v/>
      </c>
    </row>
    <row r="30">
      <c r="A30" t="inlineStr">
        <is>
          <t>EV EBITDA</t>
        </is>
      </c>
      <c r="B30" s="3">
        <f>B18</f>
        <v/>
      </c>
      <c r="C30" s="3">
        <f>C18</f>
        <v/>
      </c>
    </row>
    <row r="31">
      <c r="A31" t="inlineStr">
        <is>
          <t>P E Multiple</t>
        </is>
      </c>
      <c r="B31" s="3">
        <f>B24</f>
        <v/>
      </c>
      <c r="C31" s="3">
        <f>C24</f>
        <v/>
      </c>
    </row>
    <row r="33">
      <c r="A33" t="inlineStr">
        <is>
          <t>Offer Price</t>
        </is>
      </c>
      <c r="B33" s="20" t="n">
        <v>107.5</v>
      </c>
      <c r="C33" s="20" t="n">
        <v>107.5</v>
      </c>
    </row>
    <row r="35">
      <c r="A35" t="inlineStr">
        <is>
          <t>Premium to 52-Week Low</t>
        </is>
      </c>
      <c r="B35" s="13">
        <f>(107.5-B5)/B5</f>
        <v/>
      </c>
    </row>
    <row r="36">
      <c r="A36" t="inlineStr">
        <is>
          <t>Premium to 52-Week High</t>
        </is>
      </c>
      <c r="B36" s="13">
        <f>(107.5-C5)/C5</f>
        <v/>
      </c>
    </row>
  </sheetData>
  <mergeCells count="3">
    <mergeCell ref="A1:C1"/>
    <mergeCell ref="A26:C26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2026-03-29T10:54:06Z</dcterms:created>
  <dcterms:modified xmlns:dcterms="http://purl.org/dc/terms/" xmlns:xsi="http://www.w3.org/2001/XMLSchema-instance" xsi:type="dcterms:W3CDTF">2026-03-29T10:54:06Z</dcterms:modified>
</cp:coreProperties>
</file>